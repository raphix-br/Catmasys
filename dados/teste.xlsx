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_BR" sheetId="1" r:id="rId4"/>
    <sheet state="visible" name="Minha_Colecao" sheetId="2" r:id="rId5"/>
  </sheets>
  <definedNames>
    <definedName hidden="1" localSheetId="0" name="Z_AA0F303E_A0C1_4D04_8933_B2CAB585B07B_.wvu.FilterData">Catalogo_BR!$A$1:$Q$277</definedName>
    <definedName hidden="1" localSheetId="0" name="Z_AA0F303E_A0C1_4D04_8933_B2CAB585B07B_.wvu.FilterData">Catalogo_BR!$A$1:$Q$277</definedName>
    <definedName hidden="1" localSheetId="1" name="Z_A20F479F_4352_463B_81B4_693294FBEBEC_.wvu.FilterData">Minha_Colecao!$A$2:$U$296</definedName>
  </definedNames>
  <calcPr/>
  <customWorkbookViews>
    <customWorkbookView activeSheetId="0" maximized="1" windowHeight="0" windowWidth="0" guid="{AA0F303E-A0C1-4D04-8933-B2CAB585B07B}" name="Table1 filter view"/>
    <customWorkbookView activeSheetId="0" maximized="1" windowHeight="0" windowWidth="0" guid="{A20F479F-4352-463B-81B4-693294FBEBEC}" name="colecao filter view"/>
  </customWorkbookViews>
  <extLst>
    <ext uri="GoogleSheetsCustomDataVersion2">
      <go:sheetsCustomData xmlns:go="http://customooxmlschemas.google.com/" r:id="rId6" roundtripDataChecksum="5lQ9vt4uunhiuvdSwVPnT1cKFTe/N6VPabytildl/Vg="/>
    </ext>
  </extLst>
</workbook>
</file>

<file path=xl/sharedStrings.xml><?xml version="1.0" encoding="utf-8"?>
<sst xmlns="http://schemas.openxmlformats.org/spreadsheetml/2006/main" count="2992" uniqueCount="605">
  <si>
    <t>id</t>
  </si>
  <si>
    <t>Titulo_BR</t>
  </si>
  <si>
    <t>Titulo_Original</t>
  </si>
  <si>
    <t>Codigo_TecToy</t>
  </si>
  <si>
    <t>Ano</t>
  </si>
  <si>
    <t>Variante</t>
  </si>
  <si>
    <t>Edicao</t>
  </si>
  <si>
    <t>Genero</t>
  </si>
  <si>
    <t>Sub-Genero</t>
  </si>
  <si>
    <t>Peripherals</t>
  </si>
  <si>
    <t>Players</t>
  </si>
  <si>
    <t>Tamanho</t>
  </si>
  <si>
    <t>Desenvolvedor</t>
  </si>
  <si>
    <t>Distribuidor</t>
  </si>
  <si>
    <t>FM</t>
  </si>
  <si>
    <t>Observacao</t>
  </si>
  <si>
    <t>Exclusivo_BR</t>
  </si>
  <si>
    <t>BR-245-CU</t>
  </si>
  <si>
    <t>20 em 1</t>
  </si>
  <si>
    <t>exemplar</t>
  </si>
  <si>
    <t>Titulo_br</t>
  </si>
  <si>
    <t>Titulo_int</t>
  </si>
  <si>
    <t>Status</t>
  </si>
  <si>
    <t>CU</t>
  </si>
  <si>
    <t>Prioridade</t>
  </si>
  <si>
    <t>My_rate</t>
  </si>
  <si>
    <t>Regiao</t>
  </si>
  <si>
    <t>Catalogo</t>
  </si>
  <si>
    <t>Raridade</t>
  </si>
  <si>
    <t>Cartucho</t>
  </si>
  <si>
    <t>Estojo</t>
  </si>
  <si>
    <t>Encarte</t>
  </si>
  <si>
    <t>Manual</t>
  </si>
  <si>
    <t>Serial Bat.</t>
  </si>
  <si>
    <t>BR-001-GG</t>
  </si>
  <si>
    <t>Lote</t>
  </si>
  <si>
    <t>Ace of Aces</t>
  </si>
  <si>
    <t>Data_compra</t>
  </si>
  <si>
    <t>valor individual</t>
  </si>
  <si>
    <t>GG</t>
  </si>
  <si>
    <t>Shooting</t>
  </si>
  <si>
    <t>Nave</t>
  </si>
  <si>
    <t>Trivial Pursuit - Genus Edition</t>
  </si>
  <si>
    <t>BR-002-GG</t>
  </si>
  <si>
    <t>Action Fighter</t>
  </si>
  <si>
    <t>Action</t>
  </si>
  <si>
    <t>EU</t>
  </si>
  <si>
    <t>n/s</t>
  </si>
  <si>
    <t>BR-003-GG</t>
  </si>
  <si>
    <t>Aerial Assault</t>
  </si>
  <si>
    <t>tectoy</t>
  </si>
  <si>
    <t>BR-004-CP</t>
  </si>
  <si>
    <t>After Burner</t>
  </si>
  <si>
    <t>CP</t>
  </si>
  <si>
    <t>BR-004-GG</t>
  </si>
  <si>
    <t>Speedball</t>
  </si>
  <si>
    <t>[Verificar ano da edição]</t>
  </si>
  <si>
    <t>BR-005-GG</t>
  </si>
  <si>
    <t>total</t>
  </si>
  <si>
    <t>Air Rescue</t>
  </si>
  <si>
    <t>BR-006-GG</t>
  </si>
  <si>
    <t>Alex Kidd High-Tech World</t>
  </si>
  <si>
    <t>RPG</t>
  </si>
  <si>
    <t>Bomber Raid</t>
  </si>
  <si>
    <t>BR-007-CP</t>
  </si>
  <si>
    <t>Alex Kidd in Miracle World</t>
  </si>
  <si>
    <t>Platform</t>
  </si>
  <si>
    <t>cib</t>
  </si>
  <si>
    <t>BR-007-GG</t>
  </si>
  <si>
    <t>BR-077-GG</t>
  </si>
  <si>
    <t>BR-008-CP</t>
  </si>
  <si>
    <t>Alex Kidd In Shinobi World</t>
  </si>
  <si>
    <t>BR-008-GG</t>
  </si>
  <si>
    <t>BR-009-CP</t>
  </si>
  <si>
    <t>Alex Kidd: The Lost Stars</t>
  </si>
  <si>
    <t>BR</t>
  </si>
  <si>
    <t>Tectoy</t>
  </si>
  <si>
    <t>Raro</t>
  </si>
  <si>
    <t>boxed</t>
  </si>
  <si>
    <t>BR-010-GG</t>
  </si>
  <si>
    <t>Alien 3</t>
  </si>
  <si>
    <t>BR-096-GG</t>
  </si>
  <si>
    <t>BR-011-GG</t>
  </si>
  <si>
    <t>Alien Storm</t>
  </si>
  <si>
    <t>BR-012-GG</t>
  </si>
  <si>
    <t>Alien Syndrome</t>
  </si>
  <si>
    <t>loose</t>
  </si>
  <si>
    <t>BR-013-AZ</t>
  </si>
  <si>
    <t>Altered Beast</t>
  </si>
  <si>
    <t>AZ</t>
  </si>
  <si>
    <t>BR-168-GG</t>
  </si>
  <si>
    <t>BR-013-CP</t>
  </si>
  <si>
    <t>BR-013-GG</t>
  </si>
  <si>
    <t>cp</t>
  </si>
  <si>
    <t>BR-014-GG</t>
  </si>
  <si>
    <t>American Baseball</t>
  </si>
  <si>
    <t>Sport</t>
  </si>
  <si>
    <t>BR-152-GG</t>
  </si>
  <si>
    <t>BR-015-AB</t>
  </si>
  <si>
    <t>Andre Agassi Tennis</t>
  </si>
  <si>
    <t>AB</t>
  </si>
  <si>
    <t>BR-016-AZ</t>
  </si>
  <si>
    <t>Ariel The Little Mermaid</t>
  </si>
  <si>
    <t>gg</t>
  </si>
  <si>
    <t>BR-017-AZ</t>
  </si>
  <si>
    <t>As Aventuras da TV Colosso</t>
  </si>
  <si>
    <t>BR-241-GG</t>
  </si>
  <si>
    <t>BR-018-CP</t>
  </si>
  <si>
    <t>Assault City</t>
  </si>
  <si>
    <t>BR-019-GG</t>
  </si>
  <si>
    <t>Asterix</t>
  </si>
  <si>
    <t>BR-020-AB</t>
  </si>
  <si>
    <t>Asterix and the Great Rescue</t>
  </si>
  <si>
    <t>gp</t>
  </si>
  <si>
    <t>BR-021-AB</t>
  </si>
  <si>
    <t>BR-217-GG</t>
  </si>
  <si>
    <t>Astérix and the Secret Mission</t>
  </si>
  <si>
    <t>BR-022-CP</t>
  </si>
  <si>
    <t>Astro Warrior</t>
  </si>
  <si>
    <t>ab</t>
  </si>
  <si>
    <t>BR-022-GG</t>
  </si>
  <si>
    <t>BR-160-GG</t>
  </si>
  <si>
    <t>BR-023-GG</t>
  </si>
  <si>
    <t>Ayrton Senna's Super Monaco GP II</t>
  </si>
  <si>
    <t>Racing</t>
  </si>
  <si>
    <t>BR-024-CP</t>
  </si>
  <si>
    <t>Aztec Adventure</t>
  </si>
  <si>
    <t>EUA</t>
  </si>
  <si>
    <t>BR-025-GG</t>
  </si>
  <si>
    <t>Back to the Future II</t>
  </si>
  <si>
    <t>az</t>
  </si>
  <si>
    <t>BR-026-AZ</t>
  </si>
  <si>
    <t>Baku Baku</t>
  </si>
  <si>
    <t>BR-027-GG</t>
  </si>
  <si>
    <t>Bank Panic</t>
  </si>
  <si>
    <t>BR-127-GG</t>
  </si>
  <si>
    <t>BR-028-GG</t>
  </si>
  <si>
    <t>Basketball Nightmare</t>
  </si>
  <si>
    <t>BR-029-GP</t>
  </si>
  <si>
    <t>Batman Returns</t>
  </si>
  <si>
    <t>GP</t>
  </si>
  <si>
    <t>BR-030-CP</t>
  </si>
  <si>
    <t>Battle OutRun</t>
  </si>
  <si>
    <t>BR-031-AZ</t>
  </si>
  <si>
    <t>Battlemaniacs</t>
  </si>
  <si>
    <t>BR-032-CP</t>
  </si>
  <si>
    <t>Black Belt</t>
  </si>
  <si>
    <t>BR-033-CP</t>
  </si>
  <si>
    <t>Blade Eagle 3D</t>
  </si>
  <si>
    <t>3D Glasses</t>
  </si>
  <si>
    <t>BR-034-GG</t>
  </si>
  <si>
    <t>Bonanza Brothers</t>
  </si>
  <si>
    <t>BR-035-AB</t>
  </si>
  <si>
    <t>Buggy Run</t>
  </si>
  <si>
    <t>BR-050-GG</t>
  </si>
  <si>
    <t>BR-036-GG</t>
  </si>
  <si>
    <t>Captain Silver</t>
  </si>
  <si>
    <t>BR-037-AZ</t>
  </si>
  <si>
    <t>Castelo Rá-Tim-Bum</t>
  </si>
  <si>
    <t>BR-038-CP</t>
  </si>
  <si>
    <t>Castle of Illusion Estrelando Mickey Mouse</t>
  </si>
  <si>
    <t>BR-038-GG</t>
  </si>
  <si>
    <t>BR-172-GG</t>
  </si>
  <si>
    <t>BR-039-AB</t>
  </si>
  <si>
    <t>Champions of Europe</t>
  </si>
  <si>
    <t>BR-040-AB</t>
  </si>
  <si>
    <t>Chapolim x Drácula: Um Duelo Assustador</t>
  </si>
  <si>
    <t>BR-041-AZ</t>
  </si>
  <si>
    <t>BR-135-GG</t>
  </si>
  <si>
    <t>Cheese Cat-Astrophe estrelando Speedy Gonzales</t>
  </si>
  <si>
    <t>BR-042-CP</t>
  </si>
  <si>
    <t>Choplifter</t>
  </si>
  <si>
    <t>BR-043-GP</t>
  </si>
  <si>
    <t>Chuck Rock</t>
  </si>
  <si>
    <t>BR-044-AB</t>
  </si>
  <si>
    <t>Chuck Rock II: Son of Chuck</t>
  </si>
  <si>
    <t>BR-143-GG</t>
  </si>
  <si>
    <t>BR-045-CP</t>
  </si>
  <si>
    <t>Cloud Master</t>
  </si>
  <si>
    <t>BR-046-AB</t>
  </si>
  <si>
    <t>Crash Dummies</t>
  </si>
  <si>
    <t>BR-047-GG</t>
  </si>
  <si>
    <t>Cyber Shinobi</t>
  </si>
  <si>
    <t>BR-048-GG</t>
  </si>
  <si>
    <t>Cyborg Hunter</t>
  </si>
  <si>
    <t>BR-049-AB</t>
  </si>
  <si>
    <t>Daffy Duck in Hollywood</t>
  </si>
  <si>
    <t>Danan</t>
  </si>
  <si>
    <t>BR-051-CP</t>
  </si>
  <si>
    <t>Dead Angle</t>
  </si>
  <si>
    <t>BR-052-AB</t>
  </si>
  <si>
    <t>Deep Duck Trouble estrelando Pato Donald</t>
  </si>
  <si>
    <t>BR-054-GG</t>
  </si>
  <si>
    <t>BR-053-AB</t>
  </si>
  <si>
    <t>Desert Speedtrap starring Road Runner and Wile E. Coyote</t>
  </si>
  <si>
    <t>Dick Tracy</t>
  </si>
  <si>
    <t>BR-055-AB</t>
  </si>
  <si>
    <t>Disney's Aladdin</t>
  </si>
  <si>
    <t>BR-056-AZ</t>
  </si>
  <si>
    <t>Disney's Bonkers Wax Up!</t>
  </si>
  <si>
    <t>BR-057-CP</t>
  </si>
  <si>
    <t>Double Dragon</t>
  </si>
  <si>
    <t>BR-058-AB</t>
  </si>
  <si>
    <t>Dr. Robotnik's Mean Bean Machine</t>
  </si>
  <si>
    <t>Strategy</t>
  </si>
  <si>
    <t>BR-059-AB</t>
  </si>
  <si>
    <t>Dragon Crystal</t>
  </si>
  <si>
    <t>BR-192-AZ</t>
  </si>
  <si>
    <t>BR-060-GG</t>
  </si>
  <si>
    <t>Dragon Maze</t>
  </si>
  <si>
    <t>BR-061-GG</t>
  </si>
  <si>
    <t>Dynamite Duke</t>
  </si>
  <si>
    <t>BR-062-CP</t>
  </si>
  <si>
    <t>Dynamite Dux</t>
  </si>
  <si>
    <t>BR-063-AZ</t>
  </si>
  <si>
    <t>BR-240-AZ</t>
  </si>
  <si>
    <t>Dynamite Headdy</t>
  </si>
  <si>
    <t>BR-064-CP</t>
  </si>
  <si>
    <t>E-SWAT</t>
  </si>
  <si>
    <t>BR-064-GG</t>
  </si>
  <si>
    <t>BR-065-AZ</t>
  </si>
  <si>
    <t>Earthworm Jim</t>
  </si>
  <si>
    <t>BR-066-AB</t>
  </si>
  <si>
    <t>Ecco The Dolphin</t>
  </si>
  <si>
    <t>BR-067-AZ</t>
  </si>
  <si>
    <t>Ecco: The Tides of Time</t>
  </si>
  <si>
    <t>BR-068-GG</t>
  </si>
  <si>
    <t>F-16 Fighter</t>
  </si>
  <si>
    <t>BR-153-GG</t>
  </si>
  <si>
    <t>BR-069-AB</t>
  </si>
  <si>
    <t>F1</t>
  </si>
  <si>
    <t>BR-070-CP</t>
  </si>
  <si>
    <t>Fantasy Zone II</t>
  </si>
  <si>
    <t>BR-071-CP</t>
  </si>
  <si>
    <t>Fantasy Zone: The Maze</t>
  </si>
  <si>
    <t>BR-159-GG</t>
  </si>
  <si>
    <t>BR-072-AZ</t>
  </si>
  <si>
    <t>Férias Frustradas do Pica-Pau</t>
  </si>
  <si>
    <t>BR-073-AZ</t>
  </si>
  <si>
    <t>FIFA International Soccer</t>
  </si>
  <si>
    <t>BR-074-AZ</t>
  </si>
  <si>
    <t>Fire &amp; Ice</t>
  </si>
  <si>
    <t>BR-075-GG</t>
  </si>
  <si>
    <t>Forgotten Worlds</t>
  </si>
  <si>
    <t>BR-076-GG</t>
  </si>
  <si>
    <t>G-Loc</t>
  </si>
  <si>
    <t>Muito raro</t>
  </si>
  <si>
    <t>Gain Ground</t>
  </si>
  <si>
    <t>BR-078-CP</t>
  </si>
  <si>
    <t>Galaxy Force</t>
  </si>
  <si>
    <t>BR-078-GG</t>
  </si>
  <si>
    <t>BR-079-MG</t>
  </si>
  <si>
    <t>Game Box série Corridas</t>
  </si>
  <si>
    <t>Incomum</t>
  </si>
  <si>
    <t>MG</t>
  </si>
  <si>
    <t>BR-080-MG</t>
  </si>
  <si>
    <t>Game Box série Esportes</t>
  </si>
  <si>
    <t>BR-081-MG</t>
  </si>
  <si>
    <t>Game Box série Esportes Radicais</t>
  </si>
  <si>
    <t>BR-082-MG</t>
  </si>
  <si>
    <t>Game Box série Lutas</t>
  </si>
  <si>
    <t>Fight</t>
  </si>
  <si>
    <t>BR-083-GG</t>
  </si>
  <si>
    <t>Gang's Fighter</t>
  </si>
  <si>
    <t>BR-084-AZ</t>
  </si>
  <si>
    <t>Gangster Town</t>
  </si>
  <si>
    <t>BR-084-CP</t>
  </si>
  <si>
    <t>BR-085-GG</t>
  </si>
  <si>
    <t>Gauntlet</t>
  </si>
  <si>
    <t>BR-086-AB</t>
  </si>
  <si>
    <t>George Foreman's KO Boxing</t>
  </si>
  <si>
    <t>BR-087-AB</t>
  </si>
  <si>
    <t>Geraldinho</t>
  </si>
  <si>
    <t>BR-088-GG</t>
  </si>
  <si>
    <t>Ghost House</t>
  </si>
  <si>
    <t>BR-089-CP</t>
  </si>
  <si>
    <t>Ghostbusters</t>
  </si>
  <si>
    <t>BR-090-AZ</t>
  </si>
  <si>
    <t>Ghouls 'n Ghosts</t>
  </si>
  <si>
    <t>BR-090-CP</t>
  </si>
  <si>
    <t>BR-122-AB</t>
  </si>
  <si>
    <t>BR-090-GG</t>
  </si>
  <si>
    <t>BR-091-CP</t>
  </si>
  <si>
    <t>Global Defense</t>
  </si>
  <si>
    <t>BR-092-GP</t>
  </si>
  <si>
    <t>Global Gladiators</t>
  </si>
  <si>
    <t>BR-143-AZ</t>
  </si>
  <si>
    <t>BR-093-CP</t>
  </si>
  <si>
    <t>Golden Axe</t>
  </si>
  <si>
    <t>BR-093-GG</t>
  </si>
  <si>
    <t>[CONFIRME: qual edição você realmente possui? Posse migrada automaticamente para esta linha]</t>
  </si>
  <si>
    <t>BR-094-GG</t>
  </si>
  <si>
    <t>Golden Axe Warrior</t>
  </si>
  <si>
    <t>BR-163-AB</t>
  </si>
  <si>
    <t>BR-095-GG</t>
  </si>
  <si>
    <t>Golfamania</t>
  </si>
  <si>
    <t>Golvellius</t>
  </si>
  <si>
    <t>BR-097-GP</t>
  </si>
  <si>
    <t>GP Rider</t>
  </si>
  <si>
    <t>BR-179-AZ</t>
  </si>
  <si>
    <t>BR-098-CP</t>
  </si>
  <si>
    <t>Great Basket</t>
  </si>
  <si>
    <t>BR-099-CP</t>
  </si>
  <si>
    <t>Great Voley</t>
  </si>
  <si>
    <t>BR-099-GG</t>
  </si>
  <si>
    <t>BR-228-AZ</t>
  </si>
  <si>
    <t>BR-100-CU</t>
  </si>
  <si>
    <t>Hang On &amp; Safari Hunt</t>
  </si>
  <si>
    <t>BR-101-GG</t>
  </si>
  <si>
    <t>Heavyweight Champ</t>
  </si>
  <si>
    <t>BR-181-AZ</t>
  </si>
  <si>
    <t>BR-102-GG</t>
  </si>
  <si>
    <t>Heroes of the Lance</t>
  </si>
  <si>
    <t>BR-103-GG</t>
  </si>
  <si>
    <t>Impossible Mission</t>
  </si>
  <si>
    <t>BR-104-AZ</t>
  </si>
  <si>
    <t>Indiana Jones e a Última Cruzada</t>
  </si>
  <si>
    <t>BR-104-GG</t>
  </si>
  <si>
    <t>BR-105-AB</t>
  </si>
  <si>
    <t>James Bond 007 - The Duel</t>
  </si>
  <si>
    <t>BR-106-AZ</t>
  </si>
  <si>
    <t>James Pond 2 Codename RoboCod</t>
  </si>
  <si>
    <t>BR-147-GG</t>
  </si>
  <si>
    <t>BR-107-GG</t>
  </si>
  <si>
    <t>Joe Montana Football</t>
  </si>
  <si>
    <t>BR-108-CP</t>
  </si>
  <si>
    <t>Jogos de Verão</t>
  </si>
  <si>
    <t>BR-108-GG</t>
  </si>
  <si>
    <t>BR-109-AB</t>
  </si>
  <si>
    <t>Jogos de Verão II</t>
  </si>
  <si>
    <t>BR-110-GG</t>
  </si>
  <si>
    <t>Jogos Olímpicos</t>
  </si>
  <si>
    <t>BR-111-AB</t>
  </si>
  <si>
    <t>Jurassic Park</t>
  </si>
  <si>
    <t>BR-112-CP</t>
  </si>
  <si>
    <t>Kenseiden</t>
  </si>
  <si>
    <t>BR-112-GG</t>
  </si>
  <si>
    <t>BR-113-AB</t>
  </si>
  <si>
    <t>Krusty's Fun House</t>
  </si>
  <si>
    <t>BR-114-GG</t>
  </si>
  <si>
    <t>Kung Fu Kid</t>
  </si>
  <si>
    <t>BR-115-GP</t>
  </si>
  <si>
    <t>Land of Illusion Estrelando Mickey Mouse</t>
  </si>
  <si>
    <t>BR-116-AZ</t>
  </si>
  <si>
    <t>Legend of Illusion starring Mickey Mouse</t>
  </si>
  <si>
    <t>BR-117-GG</t>
  </si>
  <si>
    <t>Lemmings</t>
  </si>
  <si>
    <t>BR-118-GG</t>
  </si>
  <si>
    <t>Line of Fire</t>
  </si>
  <si>
    <t>BR-119-GG</t>
  </si>
  <si>
    <t>Lord of the Sword</t>
  </si>
  <si>
    <t>BR-120-CP</t>
  </si>
  <si>
    <t>Marksman Shooting &amp; Trap Shooting</t>
  </si>
  <si>
    <t>BR-187-GG</t>
  </si>
  <si>
    <t>BR-121-GP</t>
  </si>
  <si>
    <t>Master of Darkness</t>
  </si>
  <si>
    <t>Masters of Combat</t>
  </si>
  <si>
    <t>BR-123-CP</t>
  </si>
  <si>
    <t>Maze Hunter 3D</t>
  </si>
  <si>
    <t>BR-124-GG</t>
  </si>
  <si>
    <t>Mercs</t>
  </si>
  <si>
    <t>BR-125-AZ</t>
  </si>
  <si>
    <t>Mickey's Ultimate Challenge</t>
  </si>
  <si>
    <t>BR-126-GG</t>
  </si>
  <si>
    <t>Minigolf</t>
  </si>
  <si>
    <t>Miracle Warriors</t>
  </si>
  <si>
    <t>BR-128-CP</t>
  </si>
  <si>
    <t>Missile Defense 3D</t>
  </si>
  <si>
    <t>BR-128-GG</t>
  </si>
  <si>
    <t>BR-129-GG</t>
  </si>
  <si>
    <t>Mônica no Castelo do Dragão</t>
  </si>
  <si>
    <t>BR-130-CP</t>
  </si>
  <si>
    <t>Moonwalker</t>
  </si>
  <si>
    <t>BR-130-GG</t>
  </si>
  <si>
    <t>BR-131-AB</t>
  </si>
  <si>
    <t>Mortal Kombat</t>
  </si>
  <si>
    <t>BR-132-AZ</t>
  </si>
  <si>
    <t>Mortal Kombat 3</t>
  </si>
  <si>
    <t>BR-133-AB</t>
  </si>
  <si>
    <t>Mortal Kombat II</t>
  </si>
  <si>
    <t>[CORRIGIDO: BR-116B não possui variante correspondente no catálogo atual]</t>
  </si>
  <si>
    <t>BR-134-GG</t>
  </si>
  <si>
    <t>Ms. Pac-Man</t>
  </si>
  <si>
    <t>Ninja Gaiden</t>
  </si>
  <si>
    <t>BR-136-GG</t>
  </si>
  <si>
    <t>Nuclear Creature</t>
  </si>
  <si>
    <t>BR-137-GG</t>
  </si>
  <si>
    <t>Olympic Gold</t>
  </si>
  <si>
    <t>BR-138-CP</t>
  </si>
  <si>
    <t>Operation Wolf</t>
  </si>
  <si>
    <t>BR-139-AZ</t>
  </si>
  <si>
    <t>Out Run</t>
  </si>
  <si>
    <t>BR-139-CP</t>
  </si>
  <si>
    <t>BR-140-CP</t>
  </si>
  <si>
    <t>BR-148-AB</t>
  </si>
  <si>
    <t>Out Run 3D</t>
  </si>
  <si>
    <t>BR-141-GG</t>
  </si>
  <si>
    <t>Out Run Europa</t>
  </si>
  <si>
    <t>BR-142-CP</t>
  </si>
  <si>
    <t>Paper Boy</t>
  </si>
  <si>
    <t>BR-142-GG</t>
  </si>
  <si>
    <t>Phantasy Star</t>
  </si>
  <si>
    <t>BR-144-AB</t>
  </si>
  <si>
    <t>Pit-Fighter</t>
  </si>
  <si>
    <t>BR-145-AB</t>
  </si>
  <si>
    <t>Populous</t>
  </si>
  <si>
    <t>BR-146-CP</t>
  </si>
  <si>
    <t>Poseidon Wars 3D</t>
  </si>
  <si>
    <t>BR-224-AB</t>
  </si>
  <si>
    <t>Power Strike</t>
  </si>
  <si>
    <t>Power Strike II</t>
  </si>
  <si>
    <t>BR-149-GP</t>
  </si>
  <si>
    <t>Predator 2</t>
  </si>
  <si>
    <t>BR-150-AB</t>
  </si>
  <si>
    <t>Prince of Persia</t>
  </si>
  <si>
    <t>BR-151-CP</t>
  </si>
  <si>
    <t>Pro Wrestling</t>
  </si>
  <si>
    <t>Psychic World</t>
  </si>
  <si>
    <t>BR-153-CP</t>
  </si>
  <si>
    <t>BR-174-GP</t>
  </si>
  <si>
    <t>Psycho Fox</t>
  </si>
  <si>
    <t>BR-154-AB</t>
  </si>
  <si>
    <t>Quest for the Shaven Yak Starring Ren Hoëk &amp; Stimpy</t>
  </si>
  <si>
    <t>BR-193-GP</t>
  </si>
  <si>
    <t>BR-155-CP</t>
  </si>
  <si>
    <t>R-Type</t>
  </si>
  <si>
    <t>BR-156-CP</t>
  </si>
  <si>
    <t>R.C. Grand Prix</t>
  </si>
  <si>
    <t>BR-156-GG</t>
  </si>
  <si>
    <t>BR-157-AZ</t>
  </si>
  <si>
    <t>Rainbow Islands</t>
  </si>
  <si>
    <t>BR-158-CP</t>
  </si>
  <si>
    <t>Rambo III</t>
  </si>
  <si>
    <t>Rampage</t>
  </si>
  <si>
    <t>Rastan</t>
  </si>
  <si>
    <t>BR-197-GG</t>
  </si>
  <si>
    <t>BR-161-GP</t>
  </si>
  <si>
    <t>Renegade</t>
  </si>
  <si>
    <t>BR-162-CP</t>
  </si>
  <si>
    <t>Rescue Mission</t>
  </si>
  <si>
    <t>Road Rash</t>
  </si>
  <si>
    <t>BR-243-GG</t>
  </si>
  <si>
    <t>BR-164-AZ</t>
  </si>
  <si>
    <t>RoboCop 3</t>
  </si>
  <si>
    <t>BR-165-AB</t>
  </si>
  <si>
    <t>RoboCop versus The Terminator</t>
  </si>
  <si>
    <t>BR-227-GG</t>
  </si>
  <si>
    <t>BR-166-CP</t>
  </si>
  <si>
    <t>Rocky</t>
  </si>
  <si>
    <t>BR-167-GG</t>
  </si>
  <si>
    <t>Running Battle</t>
  </si>
  <si>
    <t>Sagaia</t>
  </si>
  <si>
    <t>BR-169-AB</t>
  </si>
  <si>
    <t>Sapo Xulé vs. Os Invasores do Brejo</t>
  </si>
  <si>
    <t>BR-170-AZ</t>
  </si>
  <si>
    <t>Sapo Xulé: O Mestre do Kung Fu</t>
  </si>
  <si>
    <t>BR-171-AZ</t>
  </si>
  <si>
    <t>Sapo Xulé: S.O.S. Lagoa Poluída</t>
  </si>
  <si>
    <t>Scramble Spirits</t>
  </si>
  <si>
    <t>BR-173-GG</t>
  </si>
  <si>
    <t>Sega Chess</t>
  </si>
  <si>
    <t>Sega World Tournament Golf</t>
  </si>
  <si>
    <t>BR-175-AB</t>
  </si>
  <si>
    <t>Shadow of the Beast</t>
  </si>
  <si>
    <t>BR-176-CP</t>
  </si>
  <si>
    <t>Shapes and Columns</t>
  </si>
  <si>
    <t>BR-176-GG</t>
  </si>
  <si>
    <t>BR-177-AB</t>
  </si>
  <si>
    <t>Shinobi</t>
  </si>
  <si>
    <t>BR-177-CP</t>
  </si>
  <si>
    <t>BR-177-GG</t>
  </si>
  <si>
    <t>[CONFIRME: qual edição você realmente possui? Posse migrada automaticamente para esta linha]; [CORRIGIDO: BR-115B não possui variante correspondente no catálogo atual]</t>
  </si>
  <si>
    <t>BR-178-GG</t>
  </si>
  <si>
    <t>Shooting G</t>
  </si>
  <si>
    <t>Sítio do Picapau Amarelo</t>
  </si>
  <si>
    <t>BR-180-GP</t>
  </si>
  <si>
    <t>Slap Shot</t>
  </si>
  <si>
    <t>Sonic Blast</t>
  </si>
  <si>
    <t>BR-182-GG</t>
  </si>
  <si>
    <t>Sonic The Hedgehog</t>
  </si>
  <si>
    <t>BR-183-GG</t>
  </si>
  <si>
    <t>Sonic The Hedgehog 2</t>
  </si>
  <si>
    <t>BR-184-AB</t>
  </si>
  <si>
    <t>Sonic The Hedgehog: Chaos</t>
  </si>
  <si>
    <t>BR-185-AB</t>
  </si>
  <si>
    <t>Sonic The Hedgehog: Spinball</t>
  </si>
  <si>
    <t>BR-186-CP</t>
  </si>
  <si>
    <t>Space Harrier 3D</t>
  </si>
  <si>
    <t>SpellCaster</t>
  </si>
  <si>
    <t>BR-188-GG</t>
  </si>
  <si>
    <t>Spider-Man</t>
  </si>
  <si>
    <t>BR-189-AB</t>
  </si>
  <si>
    <t>Spider-Man: Return of the Sinister Six</t>
  </si>
  <si>
    <t>BR-190-GG</t>
  </si>
  <si>
    <t>Spy vs. Spy</t>
  </si>
  <si>
    <t>BR-191-AB</t>
  </si>
  <si>
    <t>Star Wars</t>
  </si>
  <si>
    <t>Street Fighter II</t>
  </si>
  <si>
    <t>Streets of Rage</t>
  </si>
  <si>
    <t>Beat 'em Up</t>
  </si>
  <si>
    <t>BR-194-AB</t>
  </si>
  <si>
    <t>Streets of Rage II</t>
  </si>
  <si>
    <t>BR-195-GG</t>
  </si>
  <si>
    <t>Strider</t>
  </si>
  <si>
    <t>BR-196-AB</t>
  </si>
  <si>
    <t>Strider II</t>
  </si>
  <si>
    <t>Submarine Attack</t>
  </si>
  <si>
    <t>BR-198-CP</t>
  </si>
  <si>
    <t>Super Cross</t>
  </si>
  <si>
    <t>BR-199-CP</t>
  </si>
  <si>
    <t>Super Futebol</t>
  </si>
  <si>
    <t>BR-200-CP</t>
  </si>
  <si>
    <t>Super Futebol II</t>
  </si>
  <si>
    <t>BR-200-GG</t>
  </si>
  <si>
    <t>BR-201-GG</t>
  </si>
  <si>
    <t>Super Kick Off</t>
  </si>
  <si>
    <t>BR-202-AZ</t>
  </si>
  <si>
    <t>Super Mônaco GP</t>
  </si>
  <si>
    <t>BR-202-CP</t>
  </si>
  <si>
    <t>BR-203-CP</t>
  </si>
  <si>
    <t>Super Tennis</t>
  </si>
  <si>
    <t>BR-204-AB</t>
  </si>
  <si>
    <t>Superman: The Man of Steel</t>
  </si>
  <si>
    <t>BR-205-AZ</t>
  </si>
  <si>
    <t>Taz in Escape From Mars</t>
  </si>
  <si>
    <t>BR-206-GP</t>
  </si>
  <si>
    <t>Taz-Mania</t>
  </si>
  <si>
    <t>BR-207-GG</t>
  </si>
  <si>
    <t>Teddy Boy</t>
  </si>
  <si>
    <t>BR-208-AB</t>
  </si>
  <si>
    <t>The Flash</t>
  </si>
  <si>
    <t>BR-209-CP</t>
  </si>
  <si>
    <t>The Flintstones</t>
  </si>
  <si>
    <t>BR-210-AB</t>
  </si>
  <si>
    <t>The Incredible Hulk</t>
  </si>
  <si>
    <t>BR-211-AB</t>
  </si>
  <si>
    <t>The Jungle Book</t>
  </si>
  <si>
    <t>BR-212-AB</t>
  </si>
  <si>
    <t>The Lion King</t>
  </si>
  <si>
    <t>BR-213-GG</t>
  </si>
  <si>
    <t>The Lucky Dime Caper Estrelando Pato Donald</t>
  </si>
  <si>
    <t>BR-214-GP</t>
  </si>
  <si>
    <t>The Ninja</t>
  </si>
  <si>
    <t>BR-215-AB</t>
  </si>
  <si>
    <t>The Ottifants</t>
  </si>
  <si>
    <t>BR-244-CP</t>
  </si>
  <si>
    <t>BR-216-GG</t>
  </si>
  <si>
    <t>The Secret of Shinobi</t>
  </si>
  <si>
    <t>The Simpsons: Bart vs. The Space Mutants</t>
  </si>
  <si>
    <t>BR-218-AB</t>
  </si>
  <si>
    <t>The Simpsons: Bart vs. The World</t>
  </si>
  <si>
    <t>BR-219-AZ</t>
  </si>
  <si>
    <t>The Smurfs</t>
  </si>
  <si>
    <t>BR-220-AB</t>
  </si>
  <si>
    <t>The Terminator</t>
  </si>
  <si>
    <t>BR-221-CP</t>
  </si>
  <si>
    <t>Thunder Blade</t>
  </si>
  <si>
    <t>BR-222-GG</t>
  </si>
  <si>
    <t>Time Soldiers</t>
  </si>
  <si>
    <t>BR-223-GG</t>
  </si>
  <si>
    <t>Tom and Jerry: The Movie</t>
  </si>
  <si>
    <t>Turma da Mônica em: O Resgate</t>
  </si>
  <si>
    <t>BR-225-GG</t>
  </si>
  <si>
    <t>Última IV</t>
  </si>
  <si>
    <t>BR-226-AB</t>
  </si>
  <si>
    <t>Ultimate Soccer</t>
  </si>
  <si>
    <t>BR-227-CP</t>
  </si>
  <si>
    <t>Vigilante</t>
  </si>
  <si>
    <t>Virtua Fighter Animation</t>
  </si>
  <si>
    <t>BR-229-CP</t>
  </si>
  <si>
    <t>Wanted</t>
  </si>
  <si>
    <t>BR-230-AB</t>
  </si>
  <si>
    <t>Where in the World is Carmen Sandiego?</t>
  </si>
  <si>
    <t>BR-231-GP</t>
  </si>
  <si>
    <t>Wimbledon</t>
  </si>
  <si>
    <t>BR-232-AB</t>
  </si>
  <si>
    <t>Winter Olympics</t>
  </si>
  <si>
    <t>BR-233-AB</t>
  </si>
  <si>
    <t>Wolfchild</t>
  </si>
  <si>
    <t>BR-234-CP</t>
  </si>
  <si>
    <t>Wonder Boy</t>
  </si>
  <si>
    <t>BR-235-GP</t>
  </si>
  <si>
    <t>World Class Leader Board</t>
  </si>
  <si>
    <t>BR-236-AB</t>
  </si>
  <si>
    <t>World Cup USA 94</t>
  </si>
  <si>
    <t>BR-237-GG</t>
  </si>
  <si>
    <t>World Games</t>
  </si>
  <si>
    <t>BR-238-CP</t>
  </si>
  <si>
    <t>World Grand Prix</t>
  </si>
  <si>
    <t>BR-238-GG</t>
  </si>
  <si>
    <t>BR-239-AB</t>
  </si>
  <si>
    <t>WWF Wrestlemania Steel Cage Challenge</t>
  </si>
  <si>
    <t>X-Men Mojo World</t>
  </si>
  <si>
    <t>Y's</t>
  </si>
  <si>
    <t>BR-242-CP</t>
  </si>
  <si>
    <t>Zaxxon 3D</t>
  </si>
  <si>
    <t>Zillion</t>
  </si>
  <si>
    <t>Zillion II</t>
  </si>
  <si>
    <t>The Cyber Shinobi</t>
  </si>
  <si>
    <t>Comum</t>
  </si>
  <si>
    <t>World Cup Italia '90</t>
  </si>
  <si>
    <t>[CONFIRME: qual edição você realmente possui? Posse migrada automaticamente para esta linha]; [CORRIGIDO: BR-206A/B consolidados em BR-206-GP]</t>
  </si>
  <si>
    <t>Great Volleyball</t>
  </si>
  <si>
    <t>nao</t>
  </si>
  <si>
    <t>World Soccer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</si>
</sst>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b/>
      <sz val="11.0"/>
      <color theme="1"/>
      <name val="Calibri"/>
    </font>
    <font>
      <color rgb="FFFFFFFF"/>
      <name val="Calibri"/>
    </font>
    <font>
      <b/>
      <sz val="14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sz val="11.0"/>
      <color rgb="FFFFFFFF"/>
      <name val="Calibri"/>
    </font>
    <font>
      <sz val="11.0"/>
      <color rgb="FF11734B"/>
      <name val="Calibri"/>
    </font>
    <font>
      <sz val="11.0"/>
      <color rgb="FFBFE0F6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500"/>
        <bgColor rgb="FFFFF500"/>
      </patternFill>
    </fill>
    <fill>
      <patternFill patternType="solid">
        <fgColor rgb="FFFFA300"/>
        <bgColor rgb="FFFFA300"/>
      </patternFill>
    </fill>
    <fill>
      <patternFill patternType="solid">
        <fgColor rgb="FF0A53A8"/>
        <bgColor rgb="FF0A53A8"/>
      </patternFill>
    </fill>
    <fill>
      <patternFill patternType="solid">
        <fgColor rgb="FFFFFF0A"/>
        <bgColor rgb="FFFFFF0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2" numFmtId="0" xfId="0" applyBorder="1" applyFill="1" applyFont="1"/>
    <xf borderId="0" fillId="0" fontId="3" numFmtId="49" xfId="0" applyAlignment="1" applyFont="1" applyNumberFormat="1">
      <alignment horizontal="center" readingOrder="0" shrinkToFit="0" vertical="top" wrapText="0"/>
    </xf>
    <xf borderId="3" fillId="2" fontId="4" numFmtId="49" xfId="0" applyAlignment="1" applyBorder="1" applyFill="1" applyFont="1" applyNumberFormat="1">
      <alignment horizontal="center" vertical="center"/>
    </xf>
    <xf borderId="1" fillId="2" fontId="4" numFmtId="49" xfId="0" applyAlignment="1" applyBorder="1" applyFill="1" applyFont="1" applyNumberFormat="1">
      <alignment horizontal="center" vertical="center"/>
    </xf>
    <xf borderId="2" fillId="2" fontId="4" numFmtId="49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top" wrapText="0"/>
    </xf>
    <xf borderId="2" fillId="2" fontId="5" numFmtId="0" xfId="0" applyAlignment="1" applyBorder="1" applyFill="1" applyFont="1">
      <alignment horizontal="center" vertical="center"/>
    </xf>
    <xf borderId="4" fillId="0" fontId="3" numFmtId="49" xfId="0" applyAlignment="1" applyBorder="1" applyFont="1" applyNumberFormat="1">
      <alignment horizontal="center" readingOrder="0" shrinkToFit="0" vertical="top" wrapText="0"/>
    </xf>
    <xf borderId="4" fillId="0" fontId="3" numFmtId="0" xfId="0" applyAlignment="1" applyBorder="1" applyFont="1">
      <alignment horizontal="center" readingOrder="0" shrinkToFit="0" vertical="top" wrapText="0"/>
    </xf>
    <xf borderId="1" fillId="0" fontId="3" numFmtId="49" xfId="0" applyAlignment="1" applyBorder="1" applyFont="1" applyNumberFormat="1">
      <alignment horizontal="center" readingOrder="0" shrinkToFit="0" vertical="top" wrapText="0"/>
    </xf>
    <xf borderId="3" fillId="0" fontId="3" numFmtId="49" xfId="0" applyAlignment="1" applyBorder="1" applyFont="1" applyNumberFormat="1">
      <alignment horizontal="center" readingOrder="0" shrinkToFit="0" vertical="top" wrapText="0"/>
    </xf>
    <xf borderId="3" fillId="2" fontId="4" numFmtId="0" xfId="0" applyAlignment="1" applyBorder="1" applyFill="1" applyFont="1">
      <alignment vertical="center"/>
    </xf>
    <xf borderId="2" fillId="2" fontId="4" numFmtId="0" xfId="0" applyAlignment="1" applyBorder="1" applyFill="1" applyFont="1">
      <alignment vertical="center"/>
    </xf>
    <xf borderId="1" fillId="0" fontId="6" numFmtId="0" xfId="0" applyAlignment="1" applyBorder="1" applyFont="1">
      <alignment horizontal="left" readingOrder="0" shrinkToFit="0" vertical="center" wrapText="0"/>
    </xf>
    <xf borderId="4" fillId="2" fontId="4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5" fillId="0" fontId="2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horizontal="center" readingOrder="0" shrinkToFit="0" vertical="top" wrapText="0"/>
    </xf>
    <xf borderId="7" fillId="0" fontId="3" numFmtId="49" xfId="0" applyAlignment="1" applyBorder="1" applyFont="1" applyNumberFormat="1">
      <alignment horizontal="center" readingOrder="0" shrinkToFit="0" vertical="top" wrapText="0"/>
    </xf>
    <xf borderId="5" fillId="0" fontId="2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readingOrder="0" shrinkToFit="0" vertical="top" wrapText="0"/>
    </xf>
    <xf borderId="6" fillId="0" fontId="2" numFmtId="0" xfId="0" applyAlignment="1" applyBorder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6" fillId="0" fontId="2" numFmtId="49" xfId="0" applyAlignment="1" applyBorder="1" applyFont="1" applyNumberFormat="1">
      <alignment horizontal="center" readingOrder="0" shrinkToFit="0" vertical="center" wrapText="0"/>
    </xf>
    <xf borderId="7" fillId="0" fontId="2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0" fillId="0" fontId="7" numFmtId="0" xfId="0" applyFont="1"/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0" fillId="0" fontId="7" numFmtId="0" xfId="0" applyAlignment="1" applyFont="1">
      <alignment vertical="bottom"/>
    </xf>
    <xf borderId="6" fillId="3" fontId="7" numFmtId="0" xfId="0" applyAlignment="1" applyBorder="1" applyFill="1" applyFont="1">
      <alignment shrinkToFit="0" vertical="center" wrapText="0"/>
    </xf>
    <xf borderId="7" fillId="3" fontId="7" numFmtId="0" xfId="0" applyAlignment="1" applyBorder="1" applyFill="1" applyFont="1">
      <alignment shrinkToFit="0" vertical="center" wrapText="0"/>
    </xf>
    <xf borderId="0" fillId="4" fontId="8" numFmtId="0" xfId="0" applyAlignment="1" applyFill="1" applyFont="1">
      <alignment horizontal="center" shrinkToFit="0" vertical="center" wrapText="0"/>
    </xf>
    <xf borderId="6" fillId="3" fontId="7" numFmtId="0" xfId="0" applyAlignment="1" applyBorder="1" applyFill="1" applyFont="1">
      <alignment shrinkToFit="0" vertical="center" wrapText="0"/>
    </xf>
    <xf borderId="7" fillId="5" fontId="9" numFmtId="0" xfId="0" applyAlignment="1" applyBorder="1" applyFill="1" applyFont="1">
      <alignment horizontal="right" shrinkToFit="0" vertical="center" wrapText="0"/>
    </xf>
    <xf borderId="7" fillId="6" fontId="7" numFmtId="0" xfId="0" applyAlignment="1" applyBorder="1" applyFill="1" applyFont="1">
      <alignment horizontal="right" shrinkToFit="0" vertical="center" wrapText="0"/>
    </xf>
    <xf borderId="7" fillId="3" fontId="7" numFmtId="0" xfId="0" applyAlignment="1" applyBorder="1" applyFill="1" applyFont="1">
      <alignment horizontal="center" shrinkToFit="0" vertical="center" wrapText="0"/>
    </xf>
    <xf borderId="7" fillId="7" fontId="10" numFmtId="0" xfId="0" applyAlignment="1" applyBorder="1" applyFill="1" applyFont="1">
      <alignment shrinkToFit="0" vertical="center" wrapText="0"/>
    </xf>
    <xf borderId="7" fillId="3" fontId="7" numFmtId="0" xfId="0" applyAlignment="1" applyBorder="1" applyFill="1" applyFont="1">
      <alignment shrinkToFit="0" vertical="center" wrapText="0"/>
    </xf>
    <xf borderId="7" fillId="8" fontId="7" numFmtId="0" xfId="0" applyAlignment="1" applyBorder="1" applyFill="1" applyFont="1">
      <alignment shrinkToFit="0" vertical="center" wrapText="0"/>
    </xf>
    <xf borderId="0" fillId="3" fontId="7" numFmtId="0" xfId="0" applyAlignment="1" applyFill="1" applyFont="1">
      <alignment horizontal="center" shrinkToFit="0" vertical="center" wrapText="0"/>
    </xf>
    <xf borderId="0" fillId="3" fontId="7" numFmtId="0" xfId="0" applyAlignment="1" applyFill="1" applyFont="1">
      <alignment shrinkToFit="0" vertical="center" wrapText="0"/>
    </xf>
    <xf borderId="5" fillId="3" fontId="7" numFmtId="0" xfId="0" applyAlignment="1" applyBorder="1" applyFill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17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4" pivot="0" name="Minha_Coleca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logo_B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47</xdr:row>
      <xdr:rowOff>0</xdr:rowOff>
    </xdr:from>
    <xdr:ext cx="276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277" displayName="Table1" name="Table1" id="2">
  <tableColumns count="17">
    <tableColumn name="id" id="1"/>
    <tableColumn name="Titulo_BR" id="2"/>
    <tableColumn name="Titulo_Original" id="3"/>
    <tableColumn name="Codigo_TecToy" id="4"/>
    <tableColumn name="Ano" id="5"/>
    <tableColumn name="Variante" id="6"/>
    <tableColumn name="Edicao" id="7"/>
    <tableColumn name="Genero" id="8"/>
    <tableColumn name="Sub-Genero" id="9"/>
    <tableColumn name="Peripherals" id="10"/>
    <tableColumn name="Players" id="11"/>
    <tableColumn name="Tamanho" id="12"/>
    <tableColumn name="Desenvolvedor" id="13"/>
    <tableColumn name="Distribuidor" id="14"/>
    <tableColumn name="FM" id="15"/>
    <tableColumn name="Observacao" id="16"/>
    <tableColumn name="Exclusivo_BR" id="17"/>
  </tableColumns>
  <tableStyleInfo name="Catalogo_BR-style" showColumnStripes="0" showFirstColumn="1" showLastColumn="1" showRowStripes="1"/>
</table>
</file>

<file path=xl/tables/table2.xml><?xml version="1.0" encoding="utf-8"?>
<table xmlns="http://schemas.openxmlformats.org/spreadsheetml/2006/main" ref="A2:U296" displayName="colecao" name="colecao" id="1">
  <tableColumns count="21">
    <tableColumn name="id" id="1"/>
    <tableColumn name="exemplar" id="2"/>
    <tableColumn name="Titulo_br" id="3"/>
    <tableColumn name="Titulo_int" id="4"/>
    <tableColumn name="Status" id="5"/>
    <tableColumn name="Edicao" id="6"/>
    <tableColumn name="Prioridade" id="7"/>
    <tableColumn name="My_rate" id="8"/>
    <tableColumn name="Ano" id="9"/>
    <tableColumn name="Regiao" id="10"/>
    <tableColumn name="Catalogo" id="11"/>
    <tableColumn name="Raridade" id="12"/>
    <tableColumn name="Cartucho" id="13"/>
    <tableColumn name="Estojo" id="14"/>
    <tableColumn name="Encarte" id="15"/>
    <tableColumn name="Manual" id="16"/>
    <tableColumn name="Serial Bat." id="17"/>
    <tableColumn name="Lote" id="18"/>
    <tableColumn name="Data_compra" id="19"/>
    <tableColumn name="valor individual" id="20"/>
    <tableColumn name="Observacao" id="21"/>
  </tableColumns>
  <tableStyleInfo name="Minha_Cole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47.29"/>
    <col customWidth="1" min="3" max="3" width="17.43"/>
    <col customWidth="1" min="4" max="4" width="17.29"/>
    <col customWidth="1" min="5" max="5" width="8.14"/>
    <col customWidth="1" min="6" max="6" width="17.29"/>
    <col customWidth="1" min="7" max="7" width="19.29"/>
    <col customWidth="1" min="8" max="8" width="13.0"/>
    <col customWidth="1" min="9" max="9" width="14.71"/>
    <col customWidth="1" min="10" max="10" width="17.57"/>
    <col customWidth="1" min="11" max="11" width="10.43"/>
    <col customWidth="1" min="12" max="12" width="12.29"/>
    <col customWidth="1" min="13" max="13" width="15.86"/>
    <col customWidth="1" min="14" max="14" width="16.57"/>
    <col customWidth="1" min="15" max="15" width="11.57"/>
    <col customWidth="1" min="16" max="16" width="28.57"/>
    <col customWidth="1" min="17" max="17" width="10.71"/>
  </cols>
  <sheetData>
    <row r="1" ht="35.25" customHeight="1">
      <c r="A1" s="4" t="s">
        <v>0</v>
      </c>
      <c r="B1" s="8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6" t="s">
        <v>14</v>
      </c>
      <c r="P1" s="19" t="s">
        <v>15</v>
      </c>
      <c r="Q1" s="19" t="s">
        <v>16</v>
      </c>
    </row>
    <row r="2" ht="22.5" customHeight="1">
      <c r="A2" s="21" t="s">
        <v>17</v>
      </c>
      <c r="B2" s="21" t="s">
        <v>18</v>
      </c>
      <c r="C2" s="21"/>
      <c r="D2" s="24"/>
      <c r="E2" s="24">
        <v>1999.0</v>
      </c>
      <c r="F2" s="26"/>
      <c r="G2" s="28" t="s">
        <v>23</v>
      </c>
      <c r="H2" s="21"/>
      <c r="I2" s="21"/>
      <c r="J2" s="21"/>
      <c r="K2" s="21"/>
      <c r="L2" s="21"/>
      <c r="M2" s="21"/>
      <c r="N2" s="21"/>
      <c r="O2" s="26" t="b">
        <v>0</v>
      </c>
      <c r="P2" s="32"/>
      <c r="Q2" s="33"/>
    </row>
    <row r="3" ht="22.5" customHeight="1">
      <c r="A3" s="21" t="s">
        <v>34</v>
      </c>
      <c r="B3" s="21" t="s">
        <v>36</v>
      </c>
      <c r="C3" s="21"/>
      <c r="D3" s="24"/>
      <c r="E3" s="24">
        <v>1991.0</v>
      </c>
      <c r="F3" s="26"/>
      <c r="G3" s="28" t="s">
        <v>39</v>
      </c>
      <c r="H3" s="21" t="s">
        <v>40</v>
      </c>
      <c r="I3" s="21" t="s">
        <v>41</v>
      </c>
      <c r="J3" s="21"/>
      <c r="K3" s="21"/>
      <c r="L3" s="21"/>
      <c r="M3" s="21"/>
      <c r="N3" s="21"/>
      <c r="O3" s="26" t="b">
        <v>0</v>
      </c>
      <c r="P3" s="32"/>
      <c r="Q3" s="39"/>
    </row>
    <row r="4" ht="22.5" customHeight="1">
      <c r="A4" s="21" t="s">
        <v>43</v>
      </c>
      <c r="B4" s="21" t="s">
        <v>44</v>
      </c>
      <c r="C4" s="21"/>
      <c r="D4" s="24"/>
      <c r="E4" s="24">
        <v>1986.0</v>
      </c>
      <c r="F4" s="26"/>
      <c r="G4" s="28" t="s">
        <v>39</v>
      </c>
      <c r="H4" s="21" t="s">
        <v>45</v>
      </c>
      <c r="I4" s="21"/>
      <c r="J4" s="21"/>
      <c r="K4" s="21"/>
      <c r="L4" s="21"/>
      <c r="M4" s="21"/>
      <c r="N4" s="21"/>
      <c r="O4" s="26" t="b">
        <v>0</v>
      </c>
      <c r="P4" s="32"/>
      <c r="Q4" s="39"/>
    </row>
    <row r="5" ht="22.5" customHeight="1">
      <c r="A5" s="21" t="s">
        <v>48</v>
      </c>
      <c r="B5" s="21" t="s">
        <v>49</v>
      </c>
      <c r="C5" s="21"/>
      <c r="D5" s="24"/>
      <c r="E5" s="24">
        <v>1990.0</v>
      </c>
      <c r="F5" s="26"/>
      <c r="G5" s="28" t="s">
        <v>39</v>
      </c>
      <c r="H5" s="21" t="s">
        <v>40</v>
      </c>
      <c r="I5" s="21" t="s">
        <v>41</v>
      </c>
      <c r="J5" s="21"/>
      <c r="K5" s="21"/>
      <c r="L5" s="21"/>
      <c r="M5" s="21"/>
      <c r="N5" s="21"/>
      <c r="O5" s="26" t="b">
        <v>0</v>
      </c>
      <c r="P5" s="32"/>
      <c r="Q5" s="39"/>
    </row>
    <row r="6" ht="22.5" customHeight="1">
      <c r="A6" s="21" t="s">
        <v>51</v>
      </c>
      <c r="B6" s="21" t="s">
        <v>52</v>
      </c>
      <c r="C6" s="21"/>
      <c r="D6" s="24"/>
      <c r="E6" s="24">
        <v>1987.0</v>
      </c>
      <c r="F6" s="26"/>
      <c r="G6" s="28" t="s">
        <v>53</v>
      </c>
      <c r="H6" s="21" t="s">
        <v>40</v>
      </c>
      <c r="I6" s="21"/>
      <c r="J6" s="21"/>
      <c r="K6" s="21"/>
      <c r="L6" s="21"/>
      <c r="M6" s="21"/>
      <c r="N6" s="21"/>
      <c r="O6" s="26" t="b">
        <v>0</v>
      </c>
      <c r="P6" s="32"/>
      <c r="Q6" s="39"/>
    </row>
    <row r="7" ht="22.5" customHeight="1">
      <c r="A7" s="21" t="s">
        <v>54</v>
      </c>
      <c r="B7" s="21" t="s">
        <v>52</v>
      </c>
      <c r="C7" s="21"/>
      <c r="D7" s="24"/>
      <c r="E7" s="24">
        <v>1987.0</v>
      </c>
      <c r="F7" s="26"/>
      <c r="G7" s="28" t="s">
        <v>39</v>
      </c>
      <c r="H7" s="21" t="s">
        <v>40</v>
      </c>
      <c r="I7" s="21"/>
      <c r="J7" s="21"/>
      <c r="K7" s="21"/>
      <c r="L7" s="21"/>
      <c r="M7" s="21"/>
      <c r="N7" s="21"/>
      <c r="O7" s="26" t="b">
        <v>0</v>
      </c>
      <c r="P7" s="32" t="s">
        <v>56</v>
      </c>
      <c r="Q7" s="39"/>
    </row>
    <row r="8" ht="22.5" customHeight="1">
      <c r="A8" s="21" t="s">
        <v>57</v>
      </c>
      <c r="B8" s="21" t="s">
        <v>59</v>
      </c>
      <c r="C8" s="21"/>
      <c r="D8" s="24"/>
      <c r="E8" s="24">
        <v>1992.0</v>
      </c>
      <c r="F8" s="26"/>
      <c r="G8" s="28" t="s">
        <v>39</v>
      </c>
      <c r="H8" s="21" t="s">
        <v>40</v>
      </c>
      <c r="I8" s="21"/>
      <c r="J8" s="21"/>
      <c r="K8" s="21"/>
      <c r="L8" s="21"/>
      <c r="M8" s="21"/>
      <c r="N8" s="21"/>
      <c r="O8" s="26" t="b">
        <v>0</v>
      </c>
      <c r="P8" s="32"/>
      <c r="Q8" s="39"/>
    </row>
    <row r="9" ht="22.5" customHeight="1">
      <c r="A9" s="21" t="s">
        <v>60</v>
      </c>
      <c r="B9" s="21" t="s">
        <v>61</v>
      </c>
      <c r="C9" s="21"/>
      <c r="D9" s="24"/>
      <c r="E9" s="24">
        <v>1989.0</v>
      </c>
      <c r="F9" s="26"/>
      <c r="G9" s="28" t="s">
        <v>39</v>
      </c>
      <c r="H9" s="21" t="s">
        <v>62</v>
      </c>
      <c r="I9" s="21" t="s">
        <v>62</v>
      </c>
      <c r="J9" s="21"/>
      <c r="K9" s="21"/>
      <c r="L9" s="21"/>
      <c r="M9" s="21"/>
      <c r="N9" s="21"/>
      <c r="O9" s="26" t="b">
        <v>0</v>
      </c>
      <c r="P9" s="32"/>
      <c r="Q9" s="39"/>
    </row>
    <row r="10" ht="22.5" customHeight="1">
      <c r="A10" s="21" t="s">
        <v>64</v>
      </c>
      <c r="B10" s="21" t="s">
        <v>65</v>
      </c>
      <c r="C10" s="21"/>
      <c r="D10" s="24"/>
      <c r="E10" s="24">
        <v>1986.0</v>
      </c>
      <c r="F10" s="26"/>
      <c r="G10" s="28" t="s">
        <v>53</v>
      </c>
      <c r="H10" s="21" t="s">
        <v>45</v>
      </c>
      <c r="I10" s="21" t="s">
        <v>66</v>
      </c>
      <c r="J10" s="21"/>
      <c r="K10" s="21"/>
      <c r="L10" s="21"/>
      <c r="M10" s="21"/>
      <c r="N10" s="21"/>
      <c r="O10" s="26" t="b">
        <v>0</v>
      </c>
      <c r="P10" s="32"/>
      <c r="Q10" s="39"/>
    </row>
    <row r="11" ht="22.5" customHeight="1">
      <c r="A11" s="21" t="s">
        <v>68</v>
      </c>
      <c r="B11" s="21" t="s">
        <v>65</v>
      </c>
      <c r="C11" s="21"/>
      <c r="D11" s="24"/>
      <c r="E11" s="24">
        <v>1986.0</v>
      </c>
      <c r="F11" s="26"/>
      <c r="G11" s="28" t="s">
        <v>39</v>
      </c>
      <c r="H11" s="21" t="s">
        <v>45</v>
      </c>
      <c r="I11" s="21" t="s">
        <v>66</v>
      </c>
      <c r="J11" s="21"/>
      <c r="K11" s="21"/>
      <c r="L11" s="21"/>
      <c r="M11" s="21"/>
      <c r="N11" s="21"/>
      <c r="O11" s="26" t="b">
        <v>0</v>
      </c>
      <c r="P11" s="32" t="s">
        <v>56</v>
      </c>
      <c r="Q11" s="39"/>
    </row>
    <row r="12" ht="22.5" customHeight="1">
      <c r="A12" s="21" t="s">
        <v>70</v>
      </c>
      <c r="B12" s="21" t="s">
        <v>71</v>
      </c>
      <c r="C12" s="21"/>
      <c r="D12" s="24"/>
      <c r="E12" s="24">
        <v>1990.0</v>
      </c>
      <c r="F12" s="26"/>
      <c r="G12" s="28" t="s">
        <v>53</v>
      </c>
      <c r="H12" s="21" t="s">
        <v>45</v>
      </c>
      <c r="I12" s="21" t="s">
        <v>66</v>
      </c>
      <c r="J12" s="21"/>
      <c r="K12" s="21"/>
      <c r="L12" s="21"/>
      <c r="M12" s="21"/>
      <c r="N12" s="21"/>
      <c r="O12" s="26" t="b">
        <v>0</v>
      </c>
      <c r="P12" s="32"/>
      <c r="Q12" s="39"/>
    </row>
    <row r="13" ht="22.5" customHeight="1">
      <c r="A13" s="21" t="s">
        <v>72</v>
      </c>
      <c r="B13" s="21" t="s">
        <v>71</v>
      </c>
      <c r="C13" s="21"/>
      <c r="D13" s="24"/>
      <c r="E13" s="24">
        <v>1990.0</v>
      </c>
      <c r="F13" s="26"/>
      <c r="G13" s="28" t="s">
        <v>39</v>
      </c>
      <c r="H13" s="21" t="s">
        <v>45</v>
      </c>
      <c r="I13" s="21" t="s">
        <v>66</v>
      </c>
      <c r="J13" s="21"/>
      <c r="K13" s="21"/>
      <c r="L13" s="21"/>
      <c r="M13" s="21"/>
      <c r="N13" s="21"/>
      <c r="O13" s="26" t="b">
        <v>0</v>
      </c>
      <c r="P13" s="32" t="s">
        <v>56</v>
      </c>
      <c r="Q13" s="39"/>
    </row>
    <row r="14" ht="22.5" customHeight="1">
      <c r="A14" s="21" t="s">
        <v>73</v>
      </c>
      <c r="B14" s="21" t="s">
        <v>74</v>
      </c>
      <c r="C14" s="21"/>
      <c r="D14" s="24"/>
      <c r="E14" s="24">
        <v>1988.0</v>
      </c>
      <c r="F14" s="26"/>
      <c r="G14" s="28" t="s">
        <v>53</v>
      </c>
      <c r="H14" s="21" t="s">
        <v>45</v>
      </c>
      <c r="I14" s="21"/>
      <c r="J14" s="21"/>
      <c r="K14" s="21"/>
      <c r="L14" s="21"/>
      <c r="M14" s="21"/>
      <c r="N14" s="21"/>
      <c r="O14" s="26" t="b">
        <v>1</v>
      </c>
      <c r="P14" s="32"/>
      <c r="Q14" s="39"/>
    </row>
    <row r="15" ht="22.5" customHeight="1">
      <c r="A15" s="21" t="s">
        <v>79</v>
      </c>
      <c r="B15" s="21" t="s">
        <v>80</v>
      </c>
      <c r="C15" s="21"/>
      <c r="D15" s="24"/>
      <c r="E15" s="24">
        <v>1992.0</v>
      </c>
      <c r="F15" s="26"/>
      <c r="G15" s="28" t="s">
        <v>39</v>
      </c>
      <c r="H15" s="21" t="s">
        <v>45</v>
      </c>
      <c r="I15" s="21"/>
      <c r="J15" s="21"/>
      <c r="K15" s="21"/>
      <c r="L15" s="21"/>
      <c r="M15" s="21"/>
      <c r="N15" s="21"/>
      <c r="O15" s="26" t="b">
        <v>0</v>
      </c>
      <c r="P15" s="32"/>
      <c r="Q15" s="39"/>
    </row>
    <row r="16" ht="22.5" customHeight="1">
      <c r="A16" s="21" t="s">
        <v>82</v>
      </c>
      <c r="B16" s="21" t="s">
        <v>83</v>
      </c>
      <c r="C16" s="21"/>
      <c r="D16" s="24"/>
      <c r="E16" s="24">
        <v>1991.0</v>
      </c>
      <c r="F16" s="26"/>
      <c r="G16" s="28" t="s">
        <v>39</v>
      </c>
      <c r="H16" s="21" t="s">
        <v>45</v>
      </c>
      <c r="I16" s="21"/>
      <c r="J16" s="21"/>
      <c r="K16" s="21"/>
      <c r="L16" s="21"/>
      <c r="M16" s="21"/>
      <c r="N16" s="21"/>
      <c r="O16" s="26" t="b">
        <v>0</v>
      </c>
      <c r="P16" s="32"/>
      <c r="Q16" s="39"/>
    </row>
    <row r="17" ht="22.5" customHeight="1">
      <c r="A17" s="21" t="s">
        <v>84</v>
      </c>
      <c r="B17" s="21" t="s">
        <v>85</v>
      </c>
      <c r="C17" s="21"/>
      <c r="D17" s="24"/>
      <c r="E17" s="24">
        <v>1987.0</v>
      </c>
      <c r="F17" s="26"/>
      <c r="G17" s="28" t="s">
        <v>39</v>
      </c>
      <c r="H17" s="21" t="s">
        <v>45</v>
      </c>
      <c r="I17" s="21"/>
      <c r="J17" s="21"/>
      <c r="K17" s="21"/>
      <c r="L17" s="21"/>
      <c r="M17" s="21"/>
      <c r="N17" s="21"/>
      <c r="O17" s="26" t="b">
        <v>1</v>
      </c>
      <c r="P17" s="32"/>
      <c r="Q17" s="39"/>
    </row>
    <row r="18" ht="22.5" customHeight="1">
      <c r="A18" s="21" t="s">
        <v>87</v>
      </c>
      <c r="B18" s="21" t="s">
        <v>88</v>
      </c>
      <c r="C18" s="21"/>
      <c r="D18" s="24"/>
      <c r="E18" s="24">
        <v>1989.0</v>
      </c>
      <c r="F18" s="26"/>
      <c r="G18" s="28" t="s">
        <v>89</v>
      </c>
      <c r="H18" s="21" t="s">
        <v>45</v>
      </c>
      <c r="I18" s="21"/>
      <c r="J18" s="21"/>
      <c r="K18" s="21"/>
      <c r="L18" s="21"/>
      <c r="M18" s="21"/>
      <c r="N18" s="21"/>
      <c r="O18" s="26" t="b">
        <v>1</v>
      </c>
      <c r="P18" s="32" t="s">
        <v>56</v>
      </c>
      <c r="Q18" s="39"/>
    </row>
    <row r="19" ht="22.5" customHeight="1">
      <c r="A19" s="21" t="s">
        <v>91</v>
      </c>
      <c r="B19" s="21" t="s">
        <v>88</v>
      </c>
      <c r="C19" s="21"/>
      <c r="D19" s="24"/>
      <c r="E19" s="24">
        <v>1989.0</v>
      </c>
      <c r="F19" s="26"/>
      <c r="G19" s="28" t="s">
        <v>53</v>
      </c>
      <c r="H19" s="21" t="s">
        <v>45</v>
      </c>
      <c r="I19" s="21"/>
      <c r="J19" s="21"/>
      <c r="K19" s="21"/>
      <c r="L19" s="21"/>
      <c r="M19" s="21"/>
      <c r="N19" s="21"/>
      <c r="O19" s="26" t="b">
        <v>1</v>
      </c>
      <c r="P19" s="32"/>
      <c r="Q19" s="39"/>
    </row>
    <row r="20" ht="22.5" customHeight="1">
      <c r="A20" s="21" t="s">
        <v>92</v>
      </c>
      <c r="B20" s="21" t="s">
        <v>88</v>
      </c>
      <c r="C20" s="21"/>
      <c r="D20" s="24"/>
      <c r="E20" s="24">
        <v>1989.0</v>
      </c>
      <c r="F20" s="26"/>
      <c r="G20" s="28" t="s">
        <v>39</v>
      </c>
      <c r="H20" s="21" t="s">
        <v>45</v>
      </c>
      <c r="I20" s="21"/>
      <c r="J20" s="21"/>
      <c r="K20" s="21"/>
      <c r="L20" s="21"/>
      <c r="M20" s="21"/>
      <c r="N20" s="21"/>
      <c r="O20" s="26" t="b">
        <v>1</v>
      </c>
      <c r="P20" s="32" t="s">
        <v>56</v>
      </c>
      <c r="Q20" s="39"/>
    </row>
    <row r="21" ht="22.5" customHeight="1">
      <c r="A21" s="21" t="s">
        <v>94</v>
      </c>
      <c r="B21" s="21" t="s">
        <v>95</v>
      </c>
      <c r="C21" s="21"/>
      <c r="D21" s="24"/>
      <c r="E21" s="24">
        <v>1989.0</v>
      </c>
      <c r="F21" s="26"/>
      <c r="G21" s="28" t="s">
        <v>39</v>
      </c>
      <c r="H21" s="21" t="s">
        <v>96</v>
      </c>
      <c r="I21" s="21"/>
      <c r="J21" s="21"/>
      <c r="K21" s="21"/>
      <c r="L21" s="21"/>
      <c r="M21" s="21"/>
      <c r="N21" s="21"/>
      <c r="O21" s="26" t="b">
        <v>0</v>
      </c>
      <c r="P21" s="32"/>
      <c r="Q21" s="39"/>
    </row>
    <row r="22" ht="22.5" customHeight="1">
      <c r="A22" s="21" t="s">
        <v>98</v>
      </c>
      <c r="B22" s="21" t="s">
        <v>99</v>
      </c>
      <c r="C22" s="21"/>
      <c r="D22" s="24"/>
      <c r="E22" s="24">
        <v>1993.0</v>
      </c>
      <c r="F22" s="26"/>
      <c r="G22" s="28" t="s">
        <v>100</v>
      </c>
      <c r="H22" s="21" t="s">
        <v>96</v>
      </c>
      <c r="I22" s="21"/>
      <c r="J22" s="21"/>
      <c r="K22" s="21"/>
      <c r="L22" s="21"/>
      <c r="M22" s="21"/>
      <c r="N22" s="21"/>
      <c r="O22" s="26" t="b">
        <v>0</v>
      </c>
      <c r="P22" s="32"/>
      <c r="Q22" s="39"/>
    </row>
    <row r="23" ht="22.5" customHeight="1">
      <c r="A23" s="21" t="s">
        <v>101</v>
      </c>
      <c r="B23" s="21" t="s">
        <v>102</v>
      </c>
      <c r="C23" s="21"/>
      <c r="D23" s="24"/>
      <c r="E23" s="24">
        <v>1996.0</v>
      </c>
      <c r="F23" s="26"/>
      <c r="G23" s="28" t="s">
        <v>89</v>
      </c>
      <c r="H23" s="21" t="s">
        <v>45</v>
      </c>
      <c r="I23" s="21"/>
      <c r="J23" s="21"/>
      <c r="K23" s="21"/>
      <c r="L23" s="21"/>
      <c r="M23" s="21"/>
      <c r="N23" s="21"/>
      <c r="O23" s="26" t="b">
        <v>0</v>
      </c>
      <c r="P23" s="32"/>
      <c r="Q23" s="39"/>
    </row>
    <row r="24" ht="22.5" customHeight="1">
      <c r="A24" s="21" t="s">
        <v>104</v>
      </c>
      <c r="B24" s="21" t="s">
        <v>105</v>
      </c>
      <c r="C24" s="21"/>
      <c r="D24" s="24"/>
      <c r="E24" s="24">
        <v>1996.0</v>
      </c>
      <c r="F24" s="26"/>
      <c r="G24" s="28" t="s">
        <v>89</v>
      </c>
      <c r="H24" s="21" t="s">
        <v>45</v>
      </c>
      <c r="I24" s="21"/>
      <c r="J24" s="21"/>
      <c r="K24" s="21"/>
      <c r="L24" s="21"/>
      <c r="M24" s="21"/>
      <c r="N24" s="21"/>
      <c r="O24" s="26" t="b">
        <v>0</v>
      </c>
      <c r="P24" s="32"/>
      <c r="Q24" s="39"/>
    </row>
    <row r="25" ht="22.5" customHeight="1">
      <c r="A25" s="21" t="s">
        <v>107</v>
      </c>
      <c r="B25" s="21" t="s">
        <v>108</v>
      </c>
      <c r="C25" s="21"/>
      <c r="D25" s="24"/>
      <c r="E25" s="24">
        <v>1990.0</v>
      </c>
      <c r="F25" s="26"/>
      <c r="G25" s="28" t="s">
        <v>53</v>
      </c>
      <c r="H25" s="21" t="s">
        <v>45</v>
      </c>
      <c r="I25" s="21"/>
      <c r="J25" s="21"/>
      <c r="K25" s="21"/>
      <c r="L25" s="21"/>
      <c r="M25" s="21"/>
      <c r="N25" s="21"/>
      <c r="O25" s="26" t="b">
        <v>0</v>
      </c>
      <c r="P25" s="32"/>
      <c r="Q25" s="39"/>
    </row>
    <row r="26" ht="22.5" customHeight="1">
      <c r="A26" s="21" t="s">
        <v>109</v>
      </c>
      <c r="B26" s="21" t="s">
        <v>110</v>
      </c>
      <c r="C26" s="21"/>
      <c r="D26" s="24"/>
      <c r="E26" s="24">
        <v>1991.0</v>
      </c>
      <c r="F26" s="26"/>
      <c r="G26" s="28" t="s">
        <v>39</v>
      </c>
      <c r="H26" s="21" t="s">
        <v>45</v>
      </c>
      <c r="I26" s="21"/>
      <c r="J26" s="21"/>
      <c r="K26" s="21"/>
      <c r="L26" s="21"/>
      <c r="M26" s="21"/>
      <c r="N26" s="21"/>
      <c r="O26" s="26" t="b">
        <v>0</v>
      </c>
      <c r="P26" s="32"/>
      <c r="Q26" s="39"/>
    </row>
    <row r="27" ht="22.5" customHeight="1">
      <c r="A27" s="21" t="s">
        <v>111</v>
      </c>
      <c r="B27" s="21" t="s">
        <v>112</v>
      </c>
      <c r="C27" s="21"/>
      <c r="D27" s="24"/>
      <c r="E27" s="24">
        <v>1994.0</v>
      </c>
      <c r="F27" s="26"/>
      <c r="G27" s="28" t="s">
        <v>100</v>
      </c>
      <c r="H27" s="21" t="s">
        <v>45</v>
      </c>
      <c r="I27" s="21"/>
      <c r="J27" s="21"/>
      <c r="K27" s="21"/>
      <c r="L27" s="21"/>
      <c r="M27" s="21"/>
      <c r="N27" s="21"/>
      <c r="O27" s="26" t="b">
        <v>0</v>
      </c>
      <c r="P27" s="32"/>
      <c r="Q27" s="39"/>
    </row>
    <row r="28" ht="22.5" customHeight="1">
      <c r="A28" s="21" t="s">
        <v>114</v>
      </c>
      <c r="B28" s="21" t="s">
        <v>116</v>
      </c>
      <c r="C28" s="21"/>
      <c r="D28" s="24"/>
      <c r="E28" s="24">
        <v>1994.0</v>
      </c>
      <c r="F28" s="26"/>
      <c r="G28" s="28" t="s">
        <v>100</v>
      </c>
      <c r="H28" s="21" t="s">
        <v>45</v>
      </c>
      <c r="I28" s="21"/>
      <c r="J28" s="21"/>
      <c r="K28" s="21"/>
      <c r="L28" s="21"/>
      <c r="M28" s="21"/>
      <c r="N28" s="21"/>
      <c r="O28" s="26" t="b">
        <v>0</v>
      </c>
      <c r="P28" s="32"/>
      <c r="Q28" s="39"/>
    </row>
    <row r="29" ht="22.5" customHeight="1">
      <c r="A29" s="21" t="s">
        <v>117</v>
      </c>
      <c r="B29" s="21" t="s">
        <v>118</v>
      </c>
      <c r="C29" s="21"/>
      <c r="D29" s="24"/>
      <c r="E29" s="24">
        <v>1986.0</v>
      </c>
      <c r="F29" s="26"/>
      <c r="G29" s="28" t="s">
        <v>53</v>
      </c>
      <c r="H29" s="21" t="s">
        <v>45</v>
      </c>
      <c r="I29" s="21"/>
      <c r="J29" s="21"/>
      <c r="K29" s="21"/>
      <c r="L29" s="21"/>
      <c r="M29" s="21"/>
      <c r="N29" s="21"/>
      <c r="O29" s="26" t="b">
        <v>0</v>
      </c>
      <c r="P29" s="32"/>
      <c r="Q29" s="39"/>
    </row>
    <row r="30" ht="22.5" customHeight="1">
      <c r="A30" s="21" t="s">
        <v>120</v>
      </c>
      <c r="B30" s="21" t="s">
        <v>118</v>
      </c>
      <c r="C30" s="21"/>
      <c r="D30" s="24"/>
      <c r="E30" s="24">
        <v>1986.0</v>
      </c>
      <c r="F30" s="26"/>
      <c r="G30" s="28" t="s">
        <v>39</v>
      </c>
      <c r="H30" s="21" t="s">
        <v>45</v>
      </c>
      <c r="I30" s="21"/>
      <c r="J30" s="21"/>
      <c r="K30" s="21"/>
      <c r="L30" s="21"/>
      <c r="M30" s="21"/>
      <c r="N30" s="21"/>
      <c r="O30" s="26" t="b">
        <v>0</v>
      </c>
      <c r="P30" s="32" t="s">
        <v>56</v>
      </c>
      <c r="Q30" s="39"/>
    </row>
    <row r="31" ht="22.5" customHeight="1">
      <c r="A31" s="21" t="s">
        <v>122</v>
      </c>
      <c r="B31" s="21" t="s">
        <v>123</v>
      </c>
      <c r="C31" s="21"/>
      <c r="D31" s="24"/>
      <c r="E31" s="24">
        <v>1992.0</v>
      </c>
      <c r="F31" s="26"/>
      <c r="G31" s="28" t="s">
        <v>39</v>
      </c>
      <c r="H31" s="21" t="s">
        <v>124</v>
      </c>
      <c r="I31" s="21"/>
      <c r="J31" s="21"/>
      <c r="K31" s="21"/>
      <c r="L31" s="21"/>
      <c r="M31" s="21"/>
      <c r="N31" s="21"/>
      <c r="O31" s="26" t="b">
        <v>0</v>
      </c>
      <c r="P31" s="32"/>
      <c r="Q31" s="39"/>
    </row>
    <row r="32" ht="22.5" customHeight="1">
      <c r="A32" s="21" t="s">
        <v>125</v>
      </c>
      <c r="B32" s="21" t="s">
        <v>126</v>
      </c>
      <c r="C32" s="21"/>
      <c r="D32" s="24"/>
      <c r="E32" s="24">
        <v>1987.0</v>
      </c>
      <c r="F32" s="26"/>
      <c r="G32" s="28" t="s">
        <v>53</v>
      </c>
      <c r="H32" s="21" t="s">
        <v>45</v>
      </c>
      <c r="I32" s="21"/>
      <c r="J32" s="21"/>
      <c r="K32" s="21"/>
      <c r="L32" s="21"/>
      <c r="M32" s="21"/>
      <c r="N32" s="21"/>
      <c r="O32" s="26" t="b">
        <v>1</v>
      </c>
      <c r="P32" s="32"/>
      <c r="Q32" s="39"/>
    </row>
    <row r="33" ht="22.5" customHeight="1">
      <c r="A33" s="21" t="s">
        <v>128</v>
      </c>
      <c r="B33" s="21" t="s">
        <v>129</v>
      </c>
      <c r="C33" s="21"/>
      <c r="D33" s="24"/>
      <c r="E33" s="24">
        <v>1991.0</v>
      </c>
      <c r="F33" s="26"/>
      <c r="G33" s="28" t="s">
        <v>39</v>
      </c>
      <c r="H33" s="21" t="s">
        <v>45</v>
      </c>
      <c r="I33" s="21"/>
      <c r="J33" s="21"/>
      <c r="K33" s="21"/>
      <c r="L33" s="21"/>
      <c r="M33" s="21"/>
      <c r="N33" s="21"/>
      <c r="O33" s="26" t="b">
        <v>0</v>
      </c>
      <c r="P33" s="32"/>
      <c r="Q33" s="39"/>
    </row>
    <row r="34" ht="22.5" customHeight="1">
      <c r="A34" s="21" t="s">
        <v>131</v>
      </c>
      <c r="B34" s="21" t="s">
        <v>132</v>
      </c>
      <c r="C34" s="21"/>
      <c r="D34" s="24"/>
      <c r="E34" s="24">
        <v>1996.0</v>
      </c>
      <c r="F34" s="26"/>
      <c r="G34" s="28" t="s">
        <v>89</v>
      </c>
      <c r="H34" s="21" t="s">
        <v>45</v>
      </c>
      <c r="I34" s="21"/>
      <c r="J34" s="21"/>
      <c r="K34" s="21"/>
      <c r="L34" s="21"/>
      <c r="M34" s="21"/>
      <c r="N34" s="21"/>
      <c r="O34" s="26" t="b">
        <v>0</v>
      </c>
      <c r="P34" s="32"/>
      <c r="Q34" s="39"/>
    </row>
    <row r="35" ht="22.5" customHeight="1">
      <c r="A35" s="21" t="s">
        <v>133</v>
      </c>
      <c r="B35" s="21" t="s">
        <v>134</v>
      </c>
      <c r="C35" s="21"/>
      <c r="D35" s="24"/>
      <c r="E35" s="24">
        <v>1987.0</v>
      </c>
      <c r="F35" s="26"/>
      <c r="G35" s="28" t="s">
        <v>39</v>
      </c>
      <c r="H35" s="21" t="s">
        <v>45</v>
      </c>
      <c r="I35" s="21"/>
      <c r="J35" s="21"/>
      <c r="K35" s="21"/>
      <c r="L35" s="21"/>
      <c r="M35" s="21"/>
      <c r="N35" s="21"/>
      <c r="O35" s="26" t="b">
        <v>0</v>
      </c>
      <c r="P35" s="32"/>
      <c r="Q35" s="39"/>
    </row>
    <row r="36" ht="22.5" customHeight="1">
      <c r="A36" s="21" t="s">
        <v>136</v>
      </c>
      <c r="B36" s="21" t="s">
        <v>137</v>
      </c>
      <c r="C36" s="21"/>
      <c r="D36" s="24"/>
      <c r="E36" s="24">
        <v>1989.0</v>
      </c>
      <c r="F36" s="26"/>
      <c r="G36" s="28" t="s">
        <v>39</v>
      </c>
      <c r="H36" s="21" t="s">
        <v>96</v>
      </c>
      <c r="I36" s="21"/>
      <c r="J36" s="21"/>
      <c r="K36" s="21"/>
      <c r="L36" s="21"/>
      <c r="M36" s="21"/>
      <c r="N36" s="21"/>
      <c r="O36" s="26" t="b">
        <v>0</v>
      </c>
      <c r="P36" s="32"/>
      <c r="Q36" s="39"/>
    </row>
    <row r="37" ht="22.5" customHeight="1">
      <c r="A37" s="21" t="s">
        <v>138</v>
      </c>
      <c r="B37" s="21" t="s">
        <v>139</v>
      </c>
      <c r="C37" s="21"/>
      <c r="D37" s="24"/>
      <c r="E37" s="24">
        <v>1993.0</v>
      </c>
      <c r="F37" s="26"/>
      <c r="G37" s="28" t="s">
        <v>140</v>
      </c>
      <c r="H37" s="21" t="s">
        <v>45</v>
      </c>
      <c r="I37" s="21"/>
      <c r="J37" s="21"/>
      <c r="K37" s="21"/>
      <c r="L37" s="21"/>
      <c r="M37" s="21"/>
      <c r="N37" s="21"/>
      <c r="O37" s="26" t="b">
        <v>0</v>
      </c>
      <c r="P37" s="32"/>
      <c r="Q37" s="39"/>
    </row>
    <row r="38" ht="22.5" customHeight="1">
      <c r="A38" s="21" t="s">
        <v>141</v>
      </c>
      <c r="B38" s="21" t="s">
        <v>142</v>
      </c>
      <c r="C38" s="21"/>
      <c r="D38" s="24"/>
      <c r="E38" s="24">
        <v>1989.0</v>
      </c>
      <c r="F38" s="26"/>
      <c r="G38" s="28" t="s">
        <v>53</v>
      </c>
      <c r="H38" s="21" t="s">
        <v>124</v>
      </c>
      <c r="I38" s="21"/>
      <c r="J38" s="21"/>
      <c r="K38" s="21"/>
      <c r="L38" s="21"/>
      <c r="M38" s="21"/>
      <c r="N38" s="21"/>
      <c r="O38" s="26" t="b">
        <v>1</v>
      </c>
      <c r="P38" s="32"/>
      <c r="Q38" s="39"/>
    </row>
    <row r="39" ht="22.5" customHeight="1">
      <c r="A39" s="21" t="s">
        <v>143</v>
      </c>
      <c r="B39" s="21" t="s">
        <v>144</v>
      </c>
      <c r="C39" s="21"/>
      <c r="D39" s="24"/>
      <c r="E39" s="24">
        <v>1996.0</v>
      </c>
      <c r="F39" s="26"/>
      <c r="G39" s="28" t="s">
        <v>89</v>
      </c>
      <c r="H39" s="21" t="s">
        <v>45</v>
      </c>
      <c r="I39" s="21"/>
      <c r="J39" s="21"/>
      <c r="K39" s="21"/>
      <c r="L39" s="21"/>
      <c r="M39" s="21"/>
      <c r="N39" s="21"/>
      <c r="O39" s="26" t="b">
        <v>0</v>
      </c>
      <c r="P39" s="32"/>
      <c r="Q39" s="39"/>
    </row>
    <row r="40" ht="22.5" customHeight="1">
      <c r="A40" s="21" t="s">
        <v>145</v>
      </c>
      <c r="B40" s="21" t="s">
        <v>146</v>
      </c>
      <c r="C40" s="21"/>
      <c r="D40" s="24"/>
      <c r="E40" s="24">
        <v>1986.0</v>
      </c>
      <c r="F40" s="26"/>
      <c r="G40" s="28" t="s">
        <v>53</v>
      </c>
      <c r="H40" s="21" t="s">
        <v>45</v>
      </c>
      <c r="I40" s="21"/>
      <c r="J40" s="21"/>
      <c r="K40" s="21"/>
      <c r="L40" s="21"/>
      <c r="M40" s="21"/>
      <c r="N40" s="21"/>
      <c r="O40" s="26" t="b">
        <v>0</v>
      </c>
      <c r="P40" s="32"/>
      <c r="Q40" s="39"/>
    </row>
    <row r="41" ht="22.5" customHeight="1">
      <c r="A41" s="21" t="s">
        <v>147</v>
      </c>
      <c r="B41" s="21" t="s">
        <v>148</v>
      </c>
      <c r="C41" s="21"/>
      <c r="D41" s="24"/>
      <c r="E41" s="24">
        <v>1988.0</v>
      </c>
      <c r="F41" s="26"/>
      <c r="G41" s="28" t="s">
        <v>53</v>
      </c>
      <c r="H41" s="21" t="s">
        <v>45</v>
      </c>
      <c r="I41" s="21"/>
      <c r="J41" s="21" t="s">
        <v>149</v>
      </c>
      <c r="K41" s="21"/>
      <c r="L41" s="21"/>
      <c r="M41" s="21"/>
      <c r="N41" s="21"/>
      <c r="O41" s="26" t="b">
        <v>1</v>
      </c>
      <c r="P41" s="32"/>
      <c r="Q41" s="39"/>
    </row>
    <row r="42" ht="22.5" customHeight="1">
      <c r="A42" s="21" t="s">
        <v>150</v>
      </c>
      <c r="B42" s="21" t="s">
        <v>151</v>
      </c>
      <c r="C42" s="21"/>
      <c r="D42" s="24"/>
      <c r="E42" s="24">
        <v>1991.0</v>
      </c>
      <c r="F42" s="26"/>
      <c r="G42" s="28" t="s">
        <v>39</v>
      </c>
      <c r="H42" s="21" t="s">
        <v>45</v>
      </c>
      <c r="I42" s="21"/>
      <c r="J42" s="21"/>
      <c r="K42" s="21"/>
      <c r="L42" s="21"/>
      <c r="M42" s="21"/>
      <c r="N42" s="21"/>
      <c r="O42" s="26" t="b">
        <v>0</v>
      </c>
      <c r="P42" s="32"/>
      <c r="Q42" s="39"/>
    </row>
    <row r="43" ht="22.5" customHeight="1">
      <c r="A43" s="21" t="s">
        <v>152</v>
      </c>
      <c r="B43" s="21" t="s">
        <v>153</v>
      </c>
      <c r="C43" s="21"/>
      <c r="D43" s="24"/>
      <c r="E43" s="24">
        <v>1993.0</v>
      </c>
      <c r="F43" s="26"/>
      <c r="G43" s="28" t="s">
        <v>100</v>
      </c>
      <c r="H43" s="21" t="s">
        <v>124</v>
      </c>
      <c r="I43" s="21"/>
      <c r="J43" s="21"/>
      <c r="K43" s="21"/>
      <c r="L43" s="21"/>
      <c r="M43" s="21"/>
      <c r="N43" s="21"/>
      <c r="O43" s="26" t="b">
        <v>0</v>
      </c>
      <c r="P43" s="32"/>
      <c r="Q43" s="39"/>
    </row>
    <row r="44" ht="22.5" customHeight="1">
      <c r="A44" s="21" t="s">
        <v>155</v>
      </c>
      <c r="B44" s="21" t="s">
        <v>156</v>
      </c>
      <c r="C44" s="21"/>
      <c r="D44" s="24"/>
      <c r="E44" s="24">
        <v>1988.0</v>
      </c>
      <c r="F44" s="26"/>
      <c r="G44" s="28" t="s">
        <v>39</v>
      </c>
      <c r="H44" s="21" t="s">
        <v>45</v>
      </c>
      <c r="I44" s="21"/>
      <c r="J44" s="21"/>
      <c r="K44" s="21"/>
      <c r="L44" s="21"/>
      <c r="M44" s="21"/>
      <c r="N44" s="21"/>
      <c r="O44" s="26" t="b">
        <v>0</v>
      </c>
      <c r="P44" s="32"/>
      <c r="Q44" s="39"/>
    </row>
    <row r="45" ht="22.5" customHeight="1">
      <c r="A45" s="21" t="s">
        <v>157</v>
      </c>
      <c r="B45" s="21" t="s">
        <v>158</v>
      </c>
      <c r="C45" s="21"/>
      <c r="D45" s="24"/>
      <c r="E45" s="24">
        <v>1997.0</v>
      </c>
      <c r="F45" s="26"/>
      <c r="G45" s="28" t="s">
        <v>89</v>
      </c>
      <c r="H45" s="21" t="s">
        <v>45</v>
      </c>
      <c r="I45" s="21"/>
      <c r="J45" s="21"/>
      <c r="K45" s="21"/>
      <c r="L45" s="21"/>
      <c r="M45" s="21"/>
      <c r="N45" s="21"/>
      <c r="O45" s="26" t="b">
        <v>1</v>
      </c>
      <c r="P45" s="32"/>
      <c r="Q45" s="39"/>
    </row>
    <row r="46" ht="22.5" customHeight="1">
      <c r="A46" s="21" t="s">
        <v>159</v>
      </c>
      <c r="B46" s="21" t="s">
        <v>160</v>
      </c>
      <c r="C46" s="21"/>
      <c r="D46" s="24"/>
      <c r="E46" s="24">
        <v>1991.0</v>
      </c>
      <c r="F46" s="26"/>
      <c r="G46" s="28" t="s">
        <v>53</v>
      </c>
      <c r="H46" s="21" t="s">
        <v>45</v>
      </c>
      <c r="I46" s="21"/>
      <c r="J46" s="21"/>
      <c r="K46" s="21"/>
      <c r="L46" s="21"/>
      <c r="M46" s="21"/>
      <c r="N46" s="21"/>
      <c r="O46" s="26" t="b">
        <v>0</v>
      </c>
      <c r="P46" s="32"/>
      <c r="Q46" s="39"/>
    </row>
    <row r="47" ht="22.5" customHeight="1">
      <c r="A47" s="21" t="s">
        <v>161</v>
      </c>
      <c r="B47" s="21" t="s">
        <v>160</v>
      </c>
      <c r="C47" s="21"/>
      <c r="D47" s="24"/>
      <c r="E47" s="24">
        <v>1991.0</v>
      </c>
      <c r="F47" s="26"/>
      <c r="G47" s="28" t="s">
        <v>39</v>
      </c>
      <c r="H47" s="21" t="s">
        <v>45</v>
      </c>
      <c r="I47" s="21"/>
      <c r="J47" s="21"/>
      <c r="K47" s="21"/>
      <c r="L47" s="21"/>
      <c r="M47" s="21"/>
      <c r="N47" s="21"/>
      <c r="O47" s="26" t="b">
        <v>0</v>
      </c>
      <c r="P47" s="32" t="s">
        <v>56</v>
      </c>
      <c r="Q47" s="39"/>
    </row>
    <row r="48" ht="22.5" customHeight="1">
      <c r="A48" s="21" t="s">
        <v>163</v>
      </c>
      <c r="B48" s="21" t="s">
        <v>164</v>
      </c>
      <c r="C48" s="21"/>
      <c r="D48" s="24"/>
      <c r="E48" s="24">
        <v>1992.0</v>
      </c>
      <c r="F48" s="26"/>
      <c r="G48" s="28" t="s">
        <v>100</v>
      </c>
      <c r="H48" s="21" t="s">
        <v>96</v>
      </c>
      <c r="I48" s="21"/>
      <c r="J48" s="21"/>
      <c r="K48" s="21"/>
      <c r="L48" s="21"/>
      <c r="M48" s="21"/>
      <c r="N48" s="21"/>
      <c r="O48" s="26" t="b">
        <v>0</v>
      </c>
      <c r="P48" s="32"/>
      <c r="Q48" s="39"/>
    </row>
    <row r="49" ht="22.5" customHeight="1">
      <c r="A49" s="21" t="s">
        <v>165</v>
      </c>
      <c r="B49" s="21" t="s">
        <v>166</v>
      </c>
      <c r="C49" s="21"/>
      <c r="D49" s="24"/>
      <c r="E49" s="24">
        <v>1993.0</v>
      </c>
      <c r="F49" s="26"/>
      <c r="G49" s="28" t="s">
        <v>100</v>
      </c>
      <c r="H49" s="21" t="s">
        <v>45</v>
      </c>
      <c r="I49" s="21"/>
      <c r="J49" s="21"/>
      <c r="K49" s="21"/>
      <c r="L49" s="21"/>
      <c r="M49" s="21"/>
      <c r="N49" s="21"/>
      <c r="O49" s="26" t="b">
        <v>0</v>
      </c>
      <c r="P49" s="32"/>
      <c r="Q49" s="39"/>
    </row>
    <row r="50" ht="22.5" customHeight="1">
      <c r="A50" s="21" t="s">
        <v>167</v>
      </c>
      <c r="B50" s="21" t="s">
        <v>169</v>
      </c>
      <c r="C50" s="21"/>
      <c r="D50" s="24"/>
      <c r="E50" s="24">
        <v>1995.0</v>
      </c>
      <c r="F50" s="26"/>
      <c r="G50" s="28" t="s">
        <v>89</v>
      </c>
      <c r="H50" s="21" t="s">
        <v>45</v>
      </c>
      <c r="I50" s="21"/>
      <c r="J50" s="21"/>
      <c r="K50" s="21"/>
      <c r="L50" s="21"/>
      <c r="M50" s="21"/>
      <c r="N50" s="21"/>
      <c r="O50" s="26" t="b">
        <v>0</v>
      </c>
      <c r="P50" s="32"/>
      <c r="Q50" s="39"/>
    </row>
    <row r="51" ht="22.5" customHeight="1">
      <c r="A51" s="21" t="s">
        <v>170</v>
      </c>
      <c r="B51" s="21" t="s">
        <v>171</v>
      </c>
      <c r="C51" s="21"/>
      <c r="D51" s="24"/>
      <c r="E51" s="24">
        <v>1986.0</v>
      </c>
      <c r="F51" s="26"/>
      <c r="G51" s="28" t="s">
        <v>53</v>
      </c>
      <c r="H51" s="21" t="s">
        <v>45</v>
      </c>
      <c r="I51" s="21"/>
      <c r="J51" s="21"/>
      <c r="K51" s="21"/>
      <c r="L51" s="21"/>
      <c r="M51" s="21"/>
      <c r="N51" s="21"/>
      <c r="O51" s="26" t="b">
        <v>0</v>
      </c>
      <c r="P51" s="32"/>
      <c r="Q51" s="39"/>
    </row>
    <row r="52" ht="22.5" customHeight="1">
      <c r="A52" s="21" t="s">
        <v>172</v>
      </c>
      <c r="B52" s="21" t="s">
        <v>173</v>
      </c>
      <c r="C52" s="21"/>
      <c r="D52" s="24"/>
      <c r="E52" s="24">
        <v>1992.0</v>
      </c>
      <c r="F52" s="26"/>
      <c r="G52" s="28" t="s">
        <v>140</v>
      </c>
      <c r="H52" s="21" t="s">
        <v>45</v>
      </c>
      <c r="I52" s="21"/>
      <c r="J52" s="21"/>
      <c r="K52" s="21"/>
      <c r="L52" s="21"/>
      <c r="M52" s="21"/>
      <c r="N52" s="21"/>
      <c r="O52" s="26" t="b">
        <v>0</v>
      </c>
      <c r="P52" s="32"/>
      <c r="Q52" s="39"/>
    </row>
    <row r="53" ht="22.5" customHeight="1">
      <c r="A53" s="21" t="s">
        <v>174</v>
      </c>
      <c r="B53" s="21" t="s">
        <v>175</v>
      </c>
      <c r="C53" s="21"/>
      <c r="D53" s="24"/>
      <c r="E53" s="24">
        <v>1993.0</v>
      </c>
      <c r="F53" s="26"/>
      <c r="G53" s="28" t="s">
        <v>100</v>
      </c>
      <c r="H53" s="21" t="s">
        <v>45</v>
      </c>
      <c r="I53" s="21"/>
      <c r="J53" s="21"/>
      <c r="K53" s="21"/>
      <c r="L53" s="21"/>
      <c r="M53" s="21"/>
      <c r="N53" s="21"/>
      <c r="O53" s="26" t="b">
        <v>0</v>
      </c>
      <c r="P53" s="32"/>
      <c r="Q53" s="39"/>
    </row>
    <row r="54" ht="22.5" customHeight="1">
      <c r="A54" s="21" t="s">
        <v>177</v>
      </c>
      <c r="B54" s="21" t="s">
        <v>178</v>
      </c>
      <c r="C54" s="21"/>
      <c r="D54" s="24"/>
      <c r="E54" s="24">
        <v>1989.0</v>
      </c>
      <c r="F54" s="26"/>
      <c r="G54" s="28" t="s">
        <v>53</v>
      </c>
      <c r="H54" s="21" t="s">
        <v>45</v>
      </c>
      <c r="I54" s="21"/>
      <c r="J54" s="21"/>
      <c r="K54" s="21"/>
      <c r="L54" s="21"/>
      <c r="M54" s="21"/>
      <c r="N54" s="21"/>
      <c r="O54" s="26" t="b">
        <v>1</v>
      </c>
      <c r="P54" s="32"/>
      <c r="Q54" s="39"/>
    </row>
    <row r="55" ht="22.5" customHeight="1">
      <c r="A55" s="21" t="s">
        <v>179</v>
      </c>
      <c r="B55" s="21" t="s">
        <v>180</v>
      </c>
      <c r="C55" s="21"/>
      <c r="D55" s="24"/>
      <c r="E55" s="24">
        <v>1993.0</v>
      </c>
      <c r="F55" s="26"/>
      <c r="G55" s="28" t="s">
        <v>100</v>
      </c>
      <c r="H55" s="21" t="s">
        <v>45</v>
      </c>
      <c r="I55" s="21"/>
      <c r="J55" s="21"/>
      <c r="K55" s="21"/>
      <c r="L55" s="21"/>
      <c r="M55" s="21"/>
      <c r="N55" s="21"/>
      <c r="O55" s="26" t="b">
        <v>0</v>
      </c>
      <c r="P55" s="32"/>
      <c r="Q55" s="39"/>
    </row>
    <row r="56" ht="22.5" customHeight="1">
      <c r="A56" s="21" t="s">
        <v>181</v>
      </c>
      <c r="B56" s="21" t="s">
        <v>182</v>
      </c>
      <c r="C56" s="21"/>
      <c r="D56" s="24"/>
      <c r="E56" s="24">
        <v>1991.0</v>
      </c>
      <c r="F56" s="26"/>
      <c r="G56" s="28" t="s">
        <v>39</v>
      </c>
      <c r="H56" s="21" t="s">
        <v>45</v>
      </c>
      <c r="I56" s="21"/>
      <c r="J56" s="21"/>
      <c r="K56" s="21"/>
      <c r="L56" s="21"/>
      <c r="M56" s="21"/>
      <c r="N56" s="21"/>
      <c r="O56" s="26" t="b">
        <v>0</v>
      </c>
      <c r="P56" s="32"/>
      <c r="Q56" s="39"/>
    </row>
    <row r="57" ht="22.5" customHeight="1">
      <c r="A57" s="21" t="s">
        <v>183</v>
      </c>
      <c r="B57" s="21" t="s">
        <v>184</v>
      </c>
      <c r="C57" s="21"/>
      <c r="D57" s="24"/>
      <c r="E57" s="24">
        <v>1988.0</v>
      </c>
      <c r="F57" s="26"/>
      <c r="G57" s="28" t="s">
        <v>39</v>
      </c>
      <c r="H57" s="21" t="s">
        <v>45</v>
      </c>
      <c r="I57" s="21"/>
      <c r="J57" s="21"/>
      <c r="K57" s="21"/>
      <c r="L57" s="21"/>
      <c r="M57" s="21"/>
      <c r="N57" s="21"/>
      <c r="O57" s="26" t="b">
        <v>1</v>
      </c>
      <c r="P57" s="32"/>
      <c r="Q57" s="39"/>
    </row>
    <row r="58" ht="22.5" customHeight="1">
      <c r="A58" s="21" t="s">
        <v>185</v>
      </c>
      <c r="B58" s="21" t="s">
        <v>186</v>
      </c>
      <c r="C58" s="21"/>
      <c r="D58" s="24"/>
      <c r="E58" s="24">
        <v>1994.0</v>
      </c>
      <c r="F58" s="26"/>
      <c r="G58" s="28" t="s">
        <v>100</v>
      </c>
      <c r="H58" s="21" t="s">
        <v>45</v>
      </c>
      <c r="I58" s="21"/>
      <c r="J58" s="21"/>
      <c r="K58" s="21"/>
      <c r="L58" s="21"/>
      <c r="M58" s="21"/>
      <c r="N58" s="21"/>
      <c r="O58" s="26" t="b">
        <v>0</v>
      </c>
      <c r="P58" s="32"/>
      <c r="Q58" s="39"/>
    </row>
    <row r="59" ht="22.5" customHeight="1">
      <c r="A59" s="21" t="s">
        <v>154</v>
      </c>
      <c r="B59" s="21" t="s">
        <v>187</v>
      </c>
      <c r="C59" s="21"/>
      <c r="D59" s="24"/>
      <c r="E59" s="24">
        <v>1991.0</v>
      </c>
      <c r="F59" s="26"/>
      <c r="G59" s="28" t="s">
        <v>39</v>
      </c>
      <c r="H59" s="21" t="s">
        <v>45</v>
      </c>
      <c r="I59" s="21"/>
      <c r="J59" s="21"/>
      <c r="K59" s="21"/>
      <c r="L59" s="21"/>
      <c r="M59" s="21"/>
      <c r="N59" s="21"/>
      <c r="O59" s="26" t="b">
        <v>0</v>
      </c>
      <c r="P59" s="32"/>
      <c r="Q59" s="39"/>
    </row>
    <row r="60" ht="22.5" customHeight="1">
      <c r="A60" s="21" t="s">
        <v>188</v>
      </c>
      <c r="B60" s="21" t="s">
        <v>189</v>
      </c>
      <c r="C60" s="21"/>
      <c r="D60" s="24"/>
      <c r="E60" s="24">
        <v>1989.0</v>
      </c>
      <c r="F60" s="26"/>
      <c r="G60" s="28" t="s">
        <v>53</v>
      </c>
      <c r="H60" s="21" t="s">
        <v>45</v>
      </c>
      <c r="I60" s="21"/>
      <c r="J60" s="21"/>
      <c r="K60" s="21"/>
      <c r="L60" s="21"/>
      <c r="M60" s="21"/>
      <c r="N60" s="21"/>
      <c r="O60" s="26" t="b">
        <v>0</v>
      </c>
      <c r="P60" s="32"/>
      <c r="Q60" s="39"/>
    </row>
    <row r="61" ht="22.5" customHeight="1">
      <c r="A61" s="21" t="s">
        <v>190</v>
      </c>
      <c r="B61" s="21" t="s">
        <v>191</v>
      </c>
      <c r="C61" s="21"/>
      <c r="D61" s="24"/>
      <c r="E61" s="24">
        <v>1994.0</v>
      </c>
      <c r="F61" s="26"/>
      <c r="G61" s="28" t="s">
        <v>100</v>
      </c>
      <c r="H61" s="21" t="s">
        <v>45</v>
      </c>
      <c r="I61" s="21"/>
      <c r="J61" s="21"/>
      <c r="K61" s="21"/>
      <c r="L61" s="21"/>
      <c r="M61" s="21"/>
      <c r="N61" s="21"/>
      <c r="O61" s="26" t="b">
        <v>0</v>
      </c>
      <c r="P61" s="32"/>
      <c r="Q61" s="39"/>
    </row>
    <row r="62" ht="22.5" customHeight="1">
      <c r="A62" s="21" t="s">
        <v>193</v>
      </c>
      <c r="B62" s="21" t="s">
        <v>194</v>
      </c>
      <c r="C62" s="21"/>
      <c r="D62" s="24"/>
      <c r="E62" s="24">
        <v>1993.0</v>
      </c>
      <c r="F62" s="26"/>
      <c r="G62" s="28" t="s">
        <v>100</v>
      </c>
      <c r="H62" s="21" t="s">
        <v>45</v>
      </c>
      <c r="I62" s="21"/>
      <c r="J62" s="21"/>
      <c r="K62" s="21"/>
      <c r="L62" s="21"/>
      <c r="M62" s="21"/>
      <c r="N62" s="21"/>
      <c r="O62" s="26" t="b">
        <v>0</v>
      </c>
      <c r="P62" s="32"/>
      <c r="Q62" s="39"/>
    </row>
    <row r="63" ht="22.5" customHeight="1">
      <c r="A63" s="21" t="s">
        <v>192</v>
      </c>
      <c r="B63" s="21" t="s">
        <v>195</v>
      </c>
      <c r="C63" s="21"/>
      <c r="D63" s="24"/>
      <c r="E63" s="24">
        <v>1991.0</v>
      </c>
      <c r="F63" s="26"/>
      <c r="G63" s="28" t="s">
        <v>39</v>
      </c>
      <c r="H63" s="21" t="s">
        <v>45</v>
      </c>
      <c r="I63" s="21"/>
      <c r="J63" s="21"/>
      <c r="K63" s="21"/>
      <c r="L63" s="21"/>
      <c r="M63" s="21"/>
      <c r="N63" s="21"/>
      <c r="O63" s="26" t="b">
        <v>0</v>
      </c>
      <c r="P63" s="32"/>
      <c r="Q63" s="39"/>
    </row>
    <row r="64" ht="22.5" customHeight="1">
      <c r="A64" s="21" t="s">
        <v>196</v>
      </c>
      <c r="B64" s="21" t="s">
        <v>197</v>
      </c>
      <c r="C64" s="21"/>
      <c r="D64" s="24"/>
      <c r="E64" s="24">
        <v>1994.0</v>
      </c>
      <c r="F64" s="26"/>
      <c r="G64" s="28" t="s">
        <v>100</v>
      </c>
      <c r="H64" s="21" t="s">
        <v>45</v>
      </c>
      <c r="I64" s="21"/>
      <c r="J64" s="21"/>
      <c r="K64" s="21"/>
      <c r="L64" s="21"/>
      <c r="M64" s="21"/>
      <c r="N64" s="21"/>
      <c r="O64" s="26" t="b">
        <v>0</v>
      </c>
      <c r="P64" s="32"/>
      <c r="Q64" s="39"/>
    </row>
    <row r="65" ht="22.5" customHeight="1">
      <c r="A65" s="21" t="s">
        <v>198</v>
      </c>
      <c r="B65" s="21" t="s">
        <v>199</v>
      </c>
      <c r="C65" s="21"/>
      <c r="D65" s="24"/>
      <c r="E65" s="24">
        <v>1995.0</v>
      </c>
      <c r="F65" s="26"/>
      <c r="G65" s="28" t="s">
        <v>89</v>
      </c>
      <c r="H65" s="21" t="s">
        <v>45</v>
      </c>
      <c r="I65" s="21"/>
      <c r="J65" s="21"/>
      <c r="K65" s="21"/>
      <c r="L65" s="21"/>
      <c r="M65" s="21"/>
      <c r="N65" s="21"/>
      <c r="O65" s="26" t="b">
        <v>0</v>
      </c>
      <c r="P65" s="32"/>
      <c r="Q65" s="39"/>
    </row>
    <row r="66" ht="22.5" customHeight="1">
      <c r="A66" s="21" t="s">
        <v>200</v>
      </c>
      <c r="B66" s="21" t="s">
        <v>201</v>
      </c>
      <c r="C66" s="21"/>
      <c r="D66" s="24"/>
      <c r="E66" s="24">
        <v>1988.0</v>
      </c>
      <c r="F66" s="26"/>
      <c r="G66" s="28" t="s">
        <v>53</v>
      </c>
      <c r="H66" s="21" t="s">
        <v>45</v>
      </c>
      <c r="I66" s="21"/>
      <c r="J66" s="21"/>
      <c r="K66" s="21"/>
      <c r="L66" s="21"/>
      <c r="M66" s="21"/>
      <c r="N66" s="21"/>
      <c r="O66" s="26" t="b">
        <v>1</v>
      </c>
      <c r="P66" s="32"/>
      <c r="Q66" s="39"/>
    </row>
    <row r="67" ht="22.5" customHeight="1">
      <c r="A67" s="21" t="s">
        <v>202</v>
      </c>
      <c r="B67" s="21" t="s">
        <v>203</v>
      </c>
      <c r="C67" s="21"/>
      <c r="D67" s="24"/>
      <c r="E67" s="24">
        <v>1993.0</v>
      </c>
      <c r="F67" s="26"/>
      <c r="G67" s="28" t="s">
        <v>100</v>
      </c>
      <c r="H67" s="21" t="s">
        <v>204</v>
      </c>
      <c r="I67" s="21"/>
      <c r="J67" s="21"/>
      <c r="K67" s="21"/>
      <c r="L67" s="21"/>
      <c r="M67" s="21"/>
      <c r="N67" s="21"/>
      <c r="O67" s="26" t="b">
        <v>0</v>
      </c>
      <c r="P67" s="32"/>
      <c r="Q67" s="39"/>
    </row>
    <row r="68" ht="22.5" customHeight="1">
      <c r="A68" s="21" t="s">
        <v>205</v>
      </c>
      <c r="B68" s="21" t="s">
        <v>206</v>
      </c>
      <c r="C68" s="21"/>
      <c r="D68" s="24"/>
      <c r="E68" s="24">
        <v>1991.0</v>
      </c>
      <c r="F68" s="26"/>
      <c r="G68" s="28" t="s">
        <v>100</v>
      </c>
      <c r="H68" s="21" t="s">
        <v>62</v>
      </c>
      <c r="I68" s="21"/>
      <c r="J68" s="21"/>
      <c r="K68" s="21"/>
      <c r="L68" s="21"/>
      <c r="M68" s="21"/>
      <c r="N68" s="21"/>
      <c r="O68" s="26" t="b">
        <v>0</v>
      </c>
      <c r="P68" s="32"/>
      <c r="Q68" s="39"/>
    </row>
    <row r="69" ht="22.5" customHeight="1">
      <c r="A69" s="21" t="s">
        <v>208</v>
      </c>
      <c r="B69" s="21" t="s">
        <v>209</v>
      </c>
      <c r="C69" s="21"/>
      <c r="D69" s="24"/>
      <c r="E69" s="24">
        <v>1988.0</v>
      </c>
      <c r="F69" s="26"/>
      <c r="G69" s="28" t="s">
        <v>39</v>
      </c>
      <c r="H69" s="21" t="s">
        <v>45</v>
      </c>
      <c r="I69" s="21"/>
      <c r="J69" s="21"/>
      <c r="K69" s="21"/>
      <c r="L69" s="21"/>
      <c r="M69" s="21"/>
      <c r="N69" s="21"/>
      <c r="O69" s="26" t="b">
        <v>0</v>
      </c>
      <c r="P69" s="32"/>
      <c r="Q69" s="39"/>
    </row>
    <row r="70" ht="22.5" customHeight="1">
      <c r="A70" s="21" t="s">
        <v>210</v>
      </c>
      <c r="B70" s="21" t="s">
        <v>211</v>
      </c>
      <c r="C70" s="21"/>
      <c r="D70" s="24"/>
      <c r="E70" s="24">
        <v>1991.0</v>
      </c>
      <c r="F70" s="26"/>
      <c r="G70" s="28" t="s">
        <v>39</v>
      </c>
      <c r="H70" s="21" t="s">
        <v>45</v>
      </c>
      <c r="I70" s="21"/>
      <c r="J70" s="21"/>
      <c r="K70" s="21"/>
      <c r="L70" s="21"/>
      <c r="M70" s="21"/>
      <c r="N70" s="21"/>
      <c r="O70" s="26" t="b">
        <v>0</v>
      </c>
      <c r="P70" s="32"/>
      <c r="Q70" s="39"/>
    </row>
    <row r="71" ht="22.5" customHeight="1">
      <c r="A71" s="21" t="s">
        <v>212</v>
      </c>
      <c r="B71" s="21" t="s">
        <v>213</v>
      </c>
      <c r="C71" s="21"/>
      <c r="D71" s="24"/>
      <c r="E71" s="24">
        <v>1990.0</v>
      </c>
      <c r="F71" s="26"/>
      <c r="G71" s="28" t="s">
        <v>53</v>
      </c>
      <c r="H71" s="21" t="s">
        <v>45</v>
      </c>
      <c r="I71" s="21"/>
      <c r="J71" s="21"/>
      <c r="K71" s="21"/>
      <c r="L71" s="21"/>
      <c r="M71" s="21"/>
      <c r="N71" s="21"/>
      <c r="O71" s="26" t="b">
        <v>0</v>
      </c>
      <c r="P71" s="32"/>
      <c r="Q71" s="39"/>
    </row>
    <row r="72" ht="22.5" customHeight="1">
      <c r="A72" s="21" t="s">
        <v>214</v>
      </c>
      <c r="B72" s="21" t="s">
        <v>216</v>
      </c>
      <c r="C72" s="21"/>
      <c r="D72" s="24"/>
      <c r="E72" s="24">
        <v>1995.0</v>
      </c>
      <c r="F72" s="26"/>
      <c r="G72" s="28" t="s">
        <v>89</v>
      </c>
      <c r="H72" s="21" t="s">
        <v>45</v>
      </c>
      <c r="I72" s="21"/>
      <c r="J72" s="21"/>
      <c r="K72" s="21"/>
      <c r="L72" s="21"/>
      <c r="M72" s="21"/>
      <c r="N72" s="21"/>
      <c r="O72" s="26" t="b">
        <v>0</v>
      </c>
      <c r="P72" s="32"/>
      <c r="Q72" s="39"/>
    </row>
    <row r="73" ht="22.5" customHeight="1">
      <c r="A73" s="21" t="s">
        <v>217</v>
      </c>
      <c r="B73" s="21" t="s">
        <v>218</v>
      </c>
      <c r="C73" s="21"/>
      <c r="D73" s="24"/>
      <c r="E73" s="24">
        <v>1990.0</v>
      </c>
      <c r="F73" s="26"/>
      <c r="G73" s="28" t="s">
        <v>53</v>
      </c>
      <c r="H73" s="21" t="s">
        <v>45</v>
      </c>
      <c r="I73" s="21"/>
      <c r="J73" s="21"/>
      <c r="K73" s="21"/>
      <c r="L73" s="21"/>
      <c r="M73" s="21"/>
      <c r="N73" s="21"/>
      <c r="O73" s="26" t="b">
        <v>0</v>
      </c>
      <c r="P73" s="32"/>
      <c r="Q73" s="39"/>
    </row>
    <row r="74" ht="22.5" customHeight="1">
      <c r="A74" s="21" t="s">
        <v>219</v>
      </c>
      <c r="B74" s="21" t="s">
        <v>218</v>
      </c>
      <c r="C74" s="21"/>
      <c r="D74" s="24"/>
      <c r="E74" s="24">
        <v>1990.0</v>
      </c>
      <c r="F74" s="26"/>
      <c r="G74" s="28" t="s">
        <v>39</v>
      </c>
      <c r="H74" s="21" t="s">
        <v>45</v>
      </c>
      <c r="I74" s="21"/>
      <c r="J74" s="21"/>
      <c r="K74" s="21"/>
      <c r="L74" s="21"/>
      <c r="M74" s="21"/>
      <c r="N74" s="21"/>
      <c r="O74" s="26" t="b">
        <v>0</v>
      </c>
      <c r="P74" s="32" t="s">
        <v>56</v>
      </c>
      <c r="Q74" s="39"/>
    </row>
    <row r="75" ht="22.5" customHeight="1">
      <c r="A75" s="21" t="s">
        <v>220</v>
      </c>
      <c r="B75" s="21" t="s">
        <v>221</v>
      </c>
      <c r="C75" s="21"/>
      <c r="D75" s="24"/>
      <c r="E75" s="24">
        <v>1997.0</v>
      </c>
      <c r="F75" s="26"/>
      <c r="G75" s="28" t="s">
        <v>89</v>
      </c>
      <c r="H75" s="21" t="s">
        <v>45</v>
      </c>
      <c r="I75" s="21"/>
      <c r="J75" s="21"/>
      <c r="K75" s="21"/>
      <c r="L75" s="21"/>
      <c r="M75" s="21"/>
      <c r="N75" s="21"/>
      <c r="O75" s="26" t="b">
        <v>0</v>
      </c>
      <c r="P75" s="32"/>
      <c r="Q75" s="39"/>
    </row>
    <row r="76" ht="22.5" customHeight="1">
      <c r="A76" s="21" t="s">
        <v>222</v>
      </c>
      <c r="B76" s="21" t="s">
        <v>223</v>
      </c>
      <c r="C76" s="21"/>
      <c r="D76" s="24"/>
      <c r="E76" s="24">
        <v>1993.0</v>
      </c>
      <c r="F76" s="26"/>
      <c r="G76" s="28" t="s">
        <v>100</v>
      </c>
      <c r="H76" s="21" t="s">
        <v>45</v>
      </c>
      <c r="I76" s="21"/>
      <c r="J76" s="21"/>
      <c r="K76" s="21"/>
      <c r="L76" s="21"/>
      <c r="M76" s="21"/>
      <c r="N76" s="21"/>
      <c r="O76" s="26" t="b">
        <v>0</v>
      </c>
      <c r="P76" s="32"/>
      <c r="Q76" s="39"/>
    </row>
    <row r="77" ht="22.5" customHeight="1">
      <c r="A77" s="21" t="s">
        <v>224</v>
      </c>
      <c r="B77" s="21" t="s">
        <v>225</v>
      </c>
      <c r="C77" s="21"/>
      <c r="D77" s="24"/>
      <c r="E77" s="24">
        <v>1996.0</v>
      </c>
      <c r="F77" s="26"/>
      <c r="G77" s="28" t="s">
        <v>89</v>
      </c>
      <c r="H77" s="21" t="s">
        <v>45</v>
      </c>
      <c r="I77" s="21"/>
      <c r="J77" s="21"/>
      <c r="K77" s="21"/>
      <c r="L77" s="21"/>
      <c r="M77" s="21"/>
      <c r="N77" s="21"/>
      <c r="O77" s="26" t="b">
        <v>0</v>
      </c>
      <c r="P77" s="32"/>
      <c r="Q77" s="39"/>
    </row>
    <row r="78" ht="22.5" customHeight="1">
      <c r="A78" s="21" t="s">
        <v>226</v>
      </c>
      <c r="B78" s="21" t="s">
        <v>227</v>
      </c>
      <c r="C78" s="21"/>
      <c r="D78" s="24"/>
      <c r="E78" s="24">
        <v>1986.0</v>
      </c>
      <c r="F78" s="26"/>
      <c r="G78" s="28" t="s">
        <v>39</v>
      </c>
      <c r="H78" s="21" t="s">
        <v>40</v>
      </c>
      <c r="I78" s="21"/>
      <c r="J78" s="21"/>
      <c r="K78" s="21"/>
      <c r="L78" s="21"/>
      <c r="M78" s="21"/>
      <c r="N78" s="21"/>
      <c r="O78" s="26" t="b">
        <v>0</v>
      </c>
      <c r="P78" s="32"/>
      <c r="Q78" s="39"/>
    </row>
    <row r="79" ht="22.5" customHeight="1">
      <c r="A79" s="21" t="s">
        <v>229</v>
      </c>
      <c r="B79" s="21" t="s">
        <v>230</v>
      </c>
      <c r="C79" s="21"/>
      <c r="D79" s="24"/>
      <c r="E79" s="24">
        <v>1993.0</v>
      </c>
      <c r="F79" s="26"/>
      <c r="G79" s="28" t="s">
        <v>100</v>
      </c>
      <c r="H79" s="21" t="s">
        <v>40</v>
      </c>
      <c r="I79" s="21"/>
      <c r="J79" s="21"/>
      <c r="K79" s="21"/>
      <c r="L79" s="21"/>
      <c r="M79" s="21"/>
      <c r="N79" s="21"/>
      <c r="O79" s="26" t="b">
        <v>0</v>
      </c>
      <c r="P79" s="32"/>
      <c r="Q79" s="39"/>
    </row>
    <row r="80" ht="22.5" customHeight="1">
      <c r="A80" s="21" t="s">
        <v>231</v>
      </c>
      <c r="B80" s="21" t="s">
        <v>232</v>
      </c>
      <c r="C80" s="21"/>
      <c r="D80" s="24"/>
      <c r="E80" s="24">
        <v>1987.0</v>
      </c>
      <c r="F80" s="26"/>
      <c r="G80" s="28" t="s">
        <v>53</v>
      </c>
      <c r="H80" s="21" t="s">
        <v>45</v>
      </c>
      <c r="I80" s="21"/>
      <c r="J80" s="21"/>
      <c r="K80" s="21"/>
      <c r="L80" s="21"/>
      <c r="M80" s="21"/>
      <c r="N80" s="21"/>
      <c r="O80" s="26" t="b">
        <v>1</v>
      </c>
      <c r="P80" s="32"/>
      <c r="Q80" s="39"/>
    </row>
    <row r="81" ht="22.5" customHeight="1">
      <c r="A81" s="21" t="s">
        <v>233</v>
      </c>
      <c r="B81" s="21" t="s">
        <v>234</v>
      </c>
      <c r="C81" s="21"/>
      <c r="D81" s="24"/>
      <c r="E81" s="24">
        <v>1987.0</v>
      </c>
      <c r="F81" s="26"/>
      <c r="G81" s="28" t="s">
        <v>53</v>
      </c>
      <c r="H81" s="21" t="s">
        <v>45</v>
      </c>
      <c r="I81" s="21"/>
      <c r="J81" s="21"/>
      <c r="K81" s="21"/>
      <c r="L81" s="21"/>
      <c r="M81" s="21"/>
      <c r="N81" s="21"/>
      <c r="O81" s="26" t="b">
        <v>1</v>
      </c>
      <c r="P81" s="32"/>
      <c r="Q81" s="39"/>
    </row>
    <row r="82" ht="22.5" customHeight="1">
      <c r="A82" s="21" t="s">
        <v>236</v>
      </c>
      <c r="B82" s="21" t="s">
        <v>237</v>
      </c>
      <c r="C82" s="21"/>
      <c r="D82" s="24"/>
      <c r="E82" s="24">
        <v>1996.0</v>
      </c>
      <c r="F82" s="26"/>
      <c r="G82" s="28" t="s">
        <v>89</v>
      </c>
      <c r="H82" s="21" t="s">
        <v>45</v>
      </c>
      <c r="I82" s="21"/>
      <c r="J82" s="21"/>
      <c r="K82" s="21"/>
      <c r="L82" s="21"/>
      <c r="M82" s="21"/>
      <c r="N82" s="21"/>
      <c r="O82" s="26" t="b">
        <v>0</v>
      </c>
      <c r="P82" s="32"/>
      <c r="Q82" s="39"/>
    </row>
    <row r="83" ht="22.5" customHeight="1">
      <c r="A83" s="21" t="s">
        <v>238</v>
      </c>
      <c r="B83" s="21" t="s">
        <v>239</v>
      </c>
      <c r="C83" s="21"/>
      <c r="D83" s="24"/>
      <c r="E83" s="24">
        <v>1996.0</v>
      </c>
      <c r="F83" s="26"/>
      <c r="G83" s="28" t="s">
        <v>89</v>
      </c>
      <c r="H83" s="21" t="s">
        <v>96</v>
      </c>
      <c r="I83" s="21"/>
      <c r="J83" s="21"/>
      <c r="K83" s="21"/>
      <c r="L83" s="21"/>
      <c r="M83" s="21"/>
      <c r="N83" s="21"/>
      <c r="O83" s="26" t="b">
        <v>0</v>
      </c>
      <c r="P83" s="32"/>
      <c r="Q83" s="39"/>
    </row>
    <row r="84" ht="22.5" customHeight="1">
      <c r="A84" s="21" t="s">
        <v>240</v>
      </c>
      <c r="B84" s="21" t="s">
        <v>241</v>
      </c>
      <c r="C84" s="21"/>
      <c r="D84" s="24"/>
      <c r="E84" s="24">
        <v>1995.0</v>
      </c>
      <c r="F84" s="26"/>
      <c r="G84" s="28" t="s">
        <v>89</v>
      </c>
      <c r="H84" s="21" t="s">
        <v>45</v>
      </c>
      <c r="I84" s="21"/>
      <c r="J84" s="21"/>
      <c r="K84" s="21"/>
      <c r="L84" s="21"/>
      <c r="M84" s="21"/>
      <c r="N84" s="21"/>
      <c r="O84" s="26" t="b">
        <v>0</v>
      </c>
      <c r="P84" s="32"/>
      <c r="Q84" s="39"/>
    </row>
    <row r="85" ht="22.5" customHeight="1">
      <c r="A85" s="21" t="s">
        <v>242</v>
      </c>
      <c r="B85" s="21" t="s">
        <v>243</v>
      </c>
      <c r="C85" s="21"/>
      <c r="D85" s="24"/>
      <c r="E85" s="24">
        <v>1991.0</v>
      </c>
      <c r="F85" s="26"/>
      <c r="G85" s="28" t="s">
        <v>39</v>
      </c>
      <c r="H85" s="21" t="s">
        <v>45</v>
      </c>
      <c r="I85" s="21"/>
      <c r="J85" s="21"/>
      <c r="K85" s="21"/>
      <c r="L85" s="21"/>
      <c r="M85" s="21"/>
      <c r="N85" s="21"/>
      <c r="O85" s="26" t="b">
        <v>0</v>
      </c>
      <c r="P85" s="32"/>
      <c r="Q85" s="39"/>
    </row>
    <row r="86" ht="22.5" customHeight="1">
      <c r="A86" s="21" t="s">
        <v>244</v>
      </c>
      <c r="B86" s="21" t="s">
        <v>245</v>
      </c>
      <c r="C86" s="21"/>
      <c r="D86" s="24"/>
      <c r="E86" s="24">
        <v>1991.0</v>
      </c>
      <c r="F86" s="26"/>
      <c r="G86" s="28" t="s">
        <v>39</v>
      </c>
      <c r="H86" s="21" t="s">
        <v>40</v>
      </c>
      <c r="I86" s="21"/>
      <c r="J86" s="21"/>
      <c r="K86" s="21"/>
      <c r="L86" s="21"/>
      <c r="M86" s="21"/>
      <c r="N86" s="21"/>
      <c r="O86" s="26" t="b">
        <v>0</v>
      </c>
      <c r="P86" s="32"/>
      <c r="Q86" s="39"/>
    </row>
    <row r="87" ht="22.5" customHeight="1">
      <c r="A87" s="21" t="s">
        <v>69</v>
      </c>
      <c r="B87" s="21" t="s">
        <v>247</v>
      </c>
      <c r="C87" s="21"/>
      <c r="D87" s="24"/>
      <c r="E87" s="24">
        <v>1991.0</v>
      </c>
      <c r="F87" s="26"/>
      <c r="G87" s="28" t="s">
        <v>39</v>
      </c>
      <c r="H87" s="21" t="s">
        <v>45</v>
      </c>
      <c r="I87" s="21"/>
      <c r="J87" s="21"/>
      <c r="K87" s="21"/>
      <c r="L87" s="21"/>
      <c r="M87" s="21"/>
      <c r="N87" s="21"/>
      <c r="O87" s="26" t="b">
        <v>0</v>
      </c>
      <c r="P87" s="32"/>
      <c r="Q87" s="39"/>
    </row>
    <row r="88" ht="22.5" customHeight="1">
      <c r="A88" s="21" t="s">
        <v>248</v>
      </c>
      <c r="B88" s="21" t="s">
        <v>249</v>
      </c>
      <c r="C88" s="21"/>
      <c r="D88" s="24"/>
      <c r="E88" s="24">
        <v>1989.0</v>
      </c>
      <c r="F88" s="26"/>
      <c r="G88" s="28" t="s">
        <v>53</v>
      </c>
      <c r="H88" s="21" t="s">
        <v>45</v>
      </c>
      <c r="I88" s="21"/>
      <c r="J88" s="21"/>
      <c r="K88" s="21"/>
      <c r="L88" s="21"/>
      <c r="M88" s="21"/>
      <c r="N88" s="21"/>
      <c r="O88" s="26" t="b">
        <v>1</v>
      </c>
      <c r="P88" s="32"/>
      <c r="Q88" s="39"/>
    </row>
    <row r="89" ht="22.5" customHeight="1">
      <c r="A89" s="21" t="s">
        <v>250</v>
      </c>
      <c r="B89" s="21" t="s">
        <v>249</v>
      </c>
      <c r="C89" s="21"/>
      <c r="D89" s="24"/>
      <c r="E89" s="24">
        <v>1989.0</v>
      </c>
      <c r="F89" s="26"/>
      <c r="G89" s="28" t="s">
        <v>39</v>
      </c>
      <c r="H89" s="21" t="s">
        <v>45</v>
      </c>
      <c r="I89" s="21"/>
      <c r="J89" s="21"/>
      <c r="K89" s="21"/>
      <c r="L89" s="21"/>
      <c r="M89" s="21"/>
      <c r="N89" s="21"/>
      <c r="O89" s="26" t="b">
        <v>1</v>
      </c>
      <c r="P89" s="32" t="s">
        <v>56</v>
      </c>
      <c r="Q89" s="39"/>
    </row>
    <row r="90" ht="22.5" customHeight="1">
      <c r="A90" s="21" t="s">
        <v>251</v>
      </c>
      <c r="B90" s="21" t="s">
        <v>252</v>
      </c>
      <c r="C90" s="21"/>
      <c r="D90" s="24"/>
      <c r="E90" s="24">
        <v>1996.0</v>
      </c>
      <c r="F90" s="26"/>
      <c r="G90" s="28" t="s">
        <v>254</v>
      </c>
      <c r="H90" s="21" t="s">
        <v>96</v>
      </c>
      <c r="I90" s="21"/>
      <c r="J90" s="21"/>
      <c r="K90" s="21"/>
      <c r="L90" s="21"/>
      <c r="M90" s="21"/>
      <c r="N90" s="21"/>
      <c r="O90" s="26" t="b">
        <v>0</v>
      </c>
      <c r="P90" s="32"/>
      <c r="Q90" s="39"/>
    </row>
    <row r="91" ht="22.5" customHeight="1">
      <c r="A91" s="21" t="s">
        <v>255</v>
      </c>
      <c r="B91" s="21" t="s">
        <v>256</v>
      </c>
      <c r="C91" s="21"/>
      <c r="D91" s="24"/>
      <c r="E91" s="24">
        <v>1996.0</v>
      </c>
      <c r="F91" s="26"/>
      <c r="G91" s="28" t="s">
        <v>254</v>
      </c>
      <c r="H91" s="21" t="s">
        <v>96</v>
      </c>
      <c r="I91" s="21"/>
      <c r="J91" s="21"/>
      <c r="K91" s="21"/>
      <c r="L91" s="21"/>
      <c r="M91" s="21"/>
      <c r="N91" s="21"/>
      <c r="O91" s="26" t="b">
        <v>0</v>
      </c>
      <c r="P91" s="32"/>
      <c r="Q91" s="39"/>
    </row>
    <row r="92" ht="22.5" customHeight="1">
      <c r="A92" s="21" t="s">
        <v>257</v>
      </c>
      <c r="B92" s="21" t="s">
        <v>258</v>
      </c>
      <c r="C92" s="21"/>
      <c r="D92" s="24"/>
      <c r="E92" s="24">
        <v>1996.0</v>
      </c>
      <c r="F92" s="26"/>
      <c r="G92" s="28" t="s">
        <v>254</v>
      </c>
      <c r="H92" s="21" t="s">
        <v>96</v>
      </c>
      <c r="I92" s="21"/>
      <c r="J92" s="21"/>
      <c r="K92" s="21"/>
      <c r="L92" s="21"/>
      <c r="M92" s="21"/>
      <c r="N92" s="21"/>
      <c r="O92" s="26" t="b">
        <v>0</v>
      </c>
      <c r="P92" s="32"/>
      <c r="Q92" s="39"/>
    </row>
    <row r="93" ht="22.5" customHeight="1">
      <c r="A93" s="21" t="s">
        <v>259</v>
      </c>
      <c r="B93" s="21" t="s">
        <v>260</v>
      </c>
      <c r="C93" s="21"/>
      <c r="D93" s="24"/>
      <c r="E93" s="24">
        <v>1996.0</v>
      </c>
      <c r="F93" s="26"/>
      <c r="G93" s="28" t="s">
        <v>254</v>
      </c>
      <c r="H93" s="21" t="s">
        <v>261</v>
      </c>
      <c r="I93" s="21"/>
      <c r="J93" s="21"/>
      <c r="K93" s="21"/>
      <c r="L93" s="21"/>
      <c r="M93" s="21"/>
      <c r="N93" s="21"/>
      <c r="O93" s="26" t="b">
        <v>0</v>
      </c>
      <c r="P93" s="32"/>
      <c r="Q93" s="39"/>
    </row>
    <row r="94" ht="22.5" customHeight="1">
      <c r="A94" s="21" t="s">
        <v>262</v>
      </c>
      <c r="B94" s="21" t="s">
        <v>263</v>
      </c>
      <c r="C94" s="21"/>
      <c r="D94" s="24"/>
      <c r="E94" s="24">
        <v>1986.0</v>
      </c>
      <c r="F94" s="26"/>
      <c r="G94" s="28" t="s">
        <v>39</v>
      </c>
      <c r="H94" s="21" t="s">
        <v>45</v>
      </c>
      <c r="I94" s="21"/>
      <c r="J94" s="21"/>
      <c r="K94" s="21"/>
      <c r="L94" s="21"/>
      <c r="M94" s="21"/>
      <c r="N94" s="21"/>
      <c r="O94" s="26" t="b">
        <v>0</v>
      </c>
      <c r="P94" s="32"/>
      <c r="Q94" s="39"/>
    </row>
    <row r="95" ht="22.5" customHeight="1">
      <c r="A95" s="21" t="s">
        <v>264</v>
      </c>
      <c r="B95" s="21" t="s">
        <v>265</v>
      </c>
      <c r="C95" s="21"/>
      <c r="D95" s="24"/>
      <c r="E95" s="24">
        <v>1987.0</v>
      </c>
      <c r="F95" s="26"/>
      <c r="G95" s="28" t="s">
        <v>89</v>
      </c>
      <c r="H95" s="21" t="s">
        <v>45</v>
      </c>
      <c r="I95" s="21"/>
      <c r="J95" s="21"/>
      <c r="K95" s="21"/>
      <c r="L95" s="21"/>
      <c r="M95" s="21"/>
      <c r="N95" s="21"/>
      <c r="O95" s="26" t="b">
        <v>0</v>
      </c>
      <c r="P95" s="32" t="s">
        <v>56</v>
      </c>
      <c r="Q95" s="39"/>
    </row>
    <row r="96" ht="22.5" customHeight="1">
      <c r="A96" s="21" t="s">
        <v>266</v>
      </c>
      <c r="B96" s="21" t="s">
        <v>265</v>
      </c>
      <c r="C96" s="21"/>
      <c r="D96" s="24"/>
      <c r="E96" s="24">
        <v>1987.0</v>
      </c>
      <c r="F96" s="26"/>
      <c r="G96" s="28" t="s">
        <v>53</v>
      </c>
      <c r="H96" s="21" t="s">
        <v>45</v>
      </c>
      <c r="I96" s="21"/>
      <c r="J96" s="21"/>
      <c r="K96" s="21"/>
      <c r="L96" s="21"/>
      <c r="M96" s="21"/>
      <c r="N96" s="21"/>
      <c r="O96" s="26" t="b">
        <v>0</v>
      </c>
      <c r="P96" s="32"/>
      <c r="Q96" s="39"/>
    </row>
    <row r="97" ht="22.5" customHeight="1">
      <c r="A97" s="21" t="s">
        <v>267</v>
      </c>
      <c r="B97" s="21" t="s">
        <v>268</v>
      </c>
      <c r="C97" s="21"/>
      <c r="D97" s="24"/>
      <c r="E97" s="24">
        <v>1990.0</v>
      </c>
      <c r="F97" s="26"/>
      <c r="G97" s="28" t="s">
        <v>39</v>
      </c>
      <c r="H97" s="21" t="s">
        <v>45</v>
      </c>
      <c r="I97" s="21"/>
      <c r="J97" s="21"/>
      <c r="K97" s="21"/>
      <c r="L97" s="21"/>
      <c r="M97" s="21"/>
      <c r="N97" s="21"/>
      <c r="O97" s="26" t="b">
        <v>0</v>
      </c>
      <c r="P97" s="32"/>
      <c r="Q97" s="39"/>
    </row>
    <row r="98" ht="22.5" customHeight="1">
      <c r="A98" s="21" t="s">
        <v>269</v>
      </c>
      <c r="B98" s="21" t="s">
        <v>270</v>
      </c>
      <c r="C98" s="21"/>
      <c r="D98" s="24"/>
      <c r="E98" s="24">
        <v>1992.0</v>
      </c>
      <c r="F98" s="26"/>
      <c r="G98" s="28" t="s">
        <v>100</v>
      </c>
      <c r="H98" s="21" t="s">
        <v>261</v>
      </c>
      <c r="I98" s="21"/>
      <c r="J98" s="21"/>
      <c r="K98" s="21"/>
      <c r="L98" s="21"/>
      <c r="M98" s="21"/>
      <c r="N98" s="21"/>
      <c r="O98" s="26" t="b">
        <v>0</v>
      </c>
      <c r="P98" s="32"/>
      <c r="Q98" s="39"/>
    </row>
    <row r="99" ht="22.5" customHeight="1">
      <c r="A99" s="21" t="s">
        <v>271</v>
      </c>
      <c r="B99" s="21" t="s">
        <v>272</v>
      </c>
      <c r="C99" s="21"/>
      <c r="D99" s="24"/>
      <c r="E99" s="24">
        <v>1995.0</v>
      </c>
      <c r="F99" s="26"/>
      <c r="G99" s="28" t="s">
        <v>100</v>
      </c>
      <c r="H99" s="21" t="s">
        <v>45</v>
      </c>
      <c r="I99" s="21"/>
      <c r="J99" s="21"/>
      <c r="K99" s="21"/>
      <c r="L99" s="21"/>
      <c r="M99" s="21"/>
      <c r="N99" s="21"/>
      <c r="O99" s="26" t="b">
        <v>0</v>
      </c>
      <c r="P99" s="32"/>
      <c r="Q99" s="39"/>
    </row>
    <row r="100" ht="22.5" customHeight="1">
      <c r="A100" s="21" t="s">
        <v>273</v>
      </c>
      <c r="B100" s="21" t="s">
        <v>274</v>
      </c>
      <c r="C100" s="21"/>
      <c r="D100" s="24"/>
      <c r="E100" s="24">
        <v>1986.0</v>
      </c>
      <c r="F100" s="26"/>
      <c r="G100" s="28" t="s">
        <v>39</v>
      </c>
      <c r="H100" s="21" t="s">
        <v>45</v>
      </c>
      <c r="I100" s="21"/>
      <c r="J100" s="21"/>
      <c r="K100" s="21"/>
      <c r="L100" s="21"/>
      <c r="M100" s="21"/>
      <c r="N100" s="21"/>
      <c r="O100" s="26" t="b">
        <v>0</v>
      </c>
      <c r="P100" s="32"/>
      <c r="Q100" s="39"/>
    </row>
    <row r="101" ht="22.5" customHeight="1">
      <c r="A101" s="21" t="s">
        <v>275</v>
      </c>
      <c r="B101" s="21" t="s">
        <v>276</v>
      </c>
      <c r="C101" s="21"/>
      <c r="D101" s="24"/>
      <c r="E101" s="24">
        <v>1987.0</v>
      </c>
      <c r="F101" s="26"/>
      <c r="G101" s="28" t="s">
        <v>53</v>
      </c>
      <c r="H101" s="21" t="s">
        <v>45</v>
      </c>
      <c r="I101" s="21"/>
      <c r="J101" s="21"/>
      <c r="K101" s="21"/>
      <c r="L101" s="21"/>
      <c r="M101" s="21"/>
      <c r="N101" s="21"/>
      <c r="O101" s="26" t="b">
        <v>0</v>
      </c>
      <c r="P101" s="32"/>
      <c r="Q101" s="39"/>
    </row>
    <row r="102" ht="22.5" customHeight="1">
      <c r="A102" s="21" t="s">
        <v>277</v>
      </c>
      <c r="B102" s="21" t="s">
        <v>278</v>
      </c>
      <c r="C102" s="21"/>
      <c r="D102" s="24"/>
      <c r="E102" s="24">
        <v>1991.0</v>
      </c>
      <c r="F102" s="26"/>
      <c r="G102" s="28" t="s">
        <v>89</v>
      </c>
      <c r="H102" s="21" t="s">
        <v>45</v>
      </c>
      <c r="I102" s="21"/>
      <c r="J102" s="21"/>
      <c r="K102" s="21"/>
      <c r="L102" s="21"/>
      <c r="M102" s="21"/>
      <c r="N102" s="21"/>
      <c r="O102" s="26" t="b">
        <v>0</v>
      </c>
      <c r="P102" s="32" t="s">
        <v>56</v>
      </c>
      <c r="Q102" s="39"/>
    </row>
    <row r="103" ht="22.5" customHeight="1">
      <c r="A103" s="21" t="s">
        <v>279</v>
      </c>
      <c r="B103" s="21" t="s">
        <v>278</v>
      </c>
      <c r="C103" s="21"/>
      <c r="D103" s="24"/>
      <c r="E103" s="24">
        <v>1991.0</v>
      </c>
      <c r="F103" s="26"/>
      <c r="G103" s="28" t="s">
        <v>53</v>
      </c>
      <c r="H103" s="21" t="s">
        <v>45</v>
      </c>
      <c r="I103" s="21"/>
      <c r="J103" s="21"/>
      <c r="K103" s="21"/>
      <c r="L103" s="21"/>
      <c r="M103" s="21"/>
      <c r="N103" s="21"/>
      <c r="O103" s="26" t="b">
        <v>0</v>
      </c>
      <c r="P103" s="32"/>
      <c r="Q103" s="39"/>
    </row>
    <row r="104" ht="22.5" customHeight="1">
      <c r="A104" s="21" t="s">
        <v>281</v>
      </c>
      <c r="B104" s="21" t="s">
        <v>278</v>
      </c>
      <c r="C104" s="21"/>
      <c r="D104" s="24"/>
      <c r="E104" s="24">
        <v>1991.0</v>
      </c>
      <c r="F104" s="26"/>
      <c r="G104" s="28" t="s">
        <v>39</v>
      </c>
      <c r="H104" s="21" t="s">
        <v>45</v>
      </c>
      <c r="I104" s="21"/>
      <c r="J104" s="21"/>
      <c r="K104" s="21"/>
      <c r="L104" s="21"/>
      <c r="M104" s="21"/>
      <c r="N104" s="21"/>
      <c r="O104" s="26" t="b">
        <v>0</v>
      </c>
      <c r="P104" s="32" t="s">
        <v>56</v>
      </c>
      <c r="Q104" s="39"/>
    </row>
    <row r="105" ht="22.5" customHeight="1">
      <c r="A105" s="21" t="s">
        <v>282</v>
      </c>
      <c r="B105" s="21" t="s">
        <v>283</v>
      </c>
      <c r="C105" s="21"/>
      <c r="D105" s="24"/>
      <c r="E105" s="24">
        <v>1987.0</v>
      </c>
      <c r="F105" s="26"/>
      <c r="G105" s="28" t="s">
        <v>53</v>
      </c>
      <c r="H105" s="21" t="s">
        <v>45</v>
      </c>
      <c r="I105" s="21"/>
      <c r="J105" s="21"/>
      <c r="K105" s="21"/>
      <c r="L105" s="21"/>
      <c r="M105" s="21"/>
      <c r="N105" s="21"/>
      <c r="O105" s="26" t="b">
        <v>1</v>
      </c>
      <c r="P105" s="32"/>
      <c r="Q105" s="39"/>
    </row>
    <row r="106" ht="22.5" customHeight="1">
      <c r="A106" s="21" t="s">
        <v>284</v>
      </c>
      <c r="B106" s="21" t="s">
        <v>285</v>
      </c>
      <c r="C106" s="21"/>
      <c r="D106" s="24"/>
      <c r="E106" s="24">
        <v>1993.0</v>
      </c>
      <c r="F106" s="26"/>
      <c r="G106" s="28" t="s">
        <v>140</v>
      </c>
      <c r="H106" s="21" t="s">
        <v>45</v>
      </c>
      <c r="I106" s="21"/>
      <c r="J106" s="21"/>
      <c r="K106" s="21"/>
      <c r="L106" s="21"/>
      <c r="M106" s="21"/>
      <c r="N106" s="21"/>
      <c r="O106" s="26" t="b">
        <v>0</v>
      </c>
      <c r="P106" s="32"/>
      <c r="Q106" s="39"/>
    </row>
    <row r="107" ht="22.5" customHeight="1">
      <c r="A107" s="21" t="s">
        <v>287</v>
      </c>
      <c r="B107" s="21" t="s">
        <v>288</v>
      </c>
      <c r="C107" s="21"/>
      <c r="D107" s="24"/>
      <c r="E107" s="24">
        <v>1989.0</v>
      </c>
      <c r="F107" s="26"/>
      <c r="G107" s="28" t="s">
        <v>53</v>
      </c>
      <c r="H107" s="21" t="s">
        <v>45</v>
      </c>
      <c r="I107" s="21"/>
      <c r="J107" s="21"/>
      <c r="K107" s="21"/>
      <c r="L107" s="21"/>
      <c r="M107" s="21"/>
      <c r="N107" s="21"/>
      <c r="O107" s="26" t="b">
        <v>0</v>
      </c>
      <c r="P107" s="32"/>
      <c r="Q107" s="39"/>
    </row>
    <row r="108" ht="22.5" customHeight="1">
      <c r="A108" s="21" t="s">
        <v>289</v>
      </c>
      <c r="B108" s="21" t="s">
        <v>288</v>
      </c>
      <c r="C108" s="21"/>
      <c r="D108" s="24"/>
      <c r="E108" s="24">
        <v>1989.0</v>
      </c>
      <c r="F108" s="26"/>
      <c r="G108" s="28" t="s">
        <v>39</v>
      </c>
      <c r="H108" s="21" t="s">
        <v>45</v>
      </c>
      <c r="I108" s="21"/>
      <c r="J108" s="21"/>
      <c r="K108" s="21"/>
      <c r="L108" s="21"/>
      <c r="M108" s="21"/>
      <c r="N108" s="21"/>
      <c r="O108" s="26" t="b">
        <v>0</v>
      </c>
      <c r="P108" s="32" t="s">
        <v>56</v>
      </c>
      <c r="Q108" s="39"/>
    </row>
    <row r="109" ht="22.5" customHeight="1">
      <c r="A109" s="21" t="s">
        <v>291</v>
      </c>
      <c r="B109" s="21" t="s">
        <v>292</v>
      </c>
      <c r="C109" s="21"/>
      <c r="D109" s="24"/>
      <c r="E109" s="24">
        <v>1991.0</v>
      </c>
      <c r="F109" s="26"/>
      <c r="G109" s="28" t="s">
        <v>39</v>
      </c>
      <c r="H109" s="21" t="s">
        <v>45</v>
      </c>
      <c r="I109" s="21"/>
      <c r="J109" s="21"/>
      <c r="K109" s="21"/>
      <c r="L109" s="21"/>
      <c r="M109" s="21"/>
      <c r="N109" s="21"/>
      <c r="O109" s="26" t="b">
        <v>0</v>
      </c>
      <c r="P109" s="32"/>
      <c r="Q109" s="39"/>
    </row>
    <row r="110" ht="22.5" customHeight="1">
      <c r="A110" s="21" t="s">
        <v>294</v>
      </c>
      <c r="B110" s="21" t="s">
        <v>295</v>
      </c>
      <c r="C110" s="21"/>
      <c r="D110" s="24"/>
      <c r="E110" s="24">
        <v>1990.0</v>
      </c>
      <c r="F110" s="26"/>
      <c r="G110" s="28" t="s">
        <v>39</v>
      </c>
      <c r="H110" s="21" t="s">
        <v>96</v>
      </c>
      <c r="I110" s="21"/>
      <c r="J110" s="21"/>
      <c r="K110" s="21"/>
      <c r="L110" s="21"/>
      <c r="M110" s="21"/>
      <c r="N110" s="21"/>
      <c r="O110" s="26" t="b">
        <v>1</v>
      </c>
      <c r="P110" s="32"/>
      <c r="Q110" s="39"/>
    </row>
    <row r="111" ht="22.5" customHeight="1">
      <c r="A111" s="21" t="s">
        <v>81</v>
      </c>
      <c r="B111" s="21" t="s">
        <v>296</v>
      </c>
      <c r="C111" s="21"/>
      <c r="D111" s="24"/>
      <c r="E111" s="24">
        <v>1988.0</v>
      </c>
      <c r="F111" s="26"/>
      <c r="G111" s="28" t="s">
        <v>39</v>
      </c>
      <c r="H111" s="21" t="s">
        <v>62</v>
      </c>
      <c r="I111" s="21"/>
      <c r="J111" s="21"/>
      <c r="K111" s="21"/>
      <c r="L111" s="21"/>
      <c r="M111" s="21"/>
      <c r="N111" s="21"/>
      <c r="O111" s="26" t="b">
        <v>1</v>
      </c>
      <c r="P111" s="32"/>
      <c r="Q111" s="39"/>
    </row>
    <row r="112" ht="22.5" customHeight="1">
      <c r="A112" s="21" t="s">
        <v>297</v>
      </c>
      <c r="B112" s="21" t="s">
        <v>298</v>
      </c>
      <c r="C112" s="21"/>
      <c r="D112" s="24"/>
      <c r="E112" s="24">
        <v>1988.0</v>
      </c>
      <c r="F112" s="26"/>
      <c r="G112" s="28" t="s">
        <v>140</v>
      </c>
      <c r="H112" s="21" t="s">
        <v>124</v>
      </c>
      <c r="I112" s="21"/>
      <c r="J112" s="21"/>
      <c r="K112" s="21"/>
      <c r="L112" s="21"/>
      <c r="M112" s="21"/>
      <c r="N112" s="21"/>
      <c r="O112" s="26" t="b">
        <v>0</v>
      </c>
      <c r="P112" s="32"/>
      <c r="Q112" s="39"/>
    </row>
    <row r="113" ht="22.5" customHeight="1">
      <c r="A113" s="21" t="s">
        <v>300</v>
      </c>
      <c r="B113" s="21" t="s">
        <v>301</v>
      </c>
      <c r="C113" s="21"/>
      <c r="D113" s="24"/>
      <c r="E113" s="24">
        <v>1987.0</v>
      </c>
      <c r="F113" s="26"/>
      <c r="G113" s="28" t="s">
        <v>53</v>
      </c>
      <c r="H113" s="21" t="s">
        <v>96</v>
      </c>
      <c r="I113" s="21"/>
      <c r="J113" s="21"/>
      <c r="K113" s="21"/>
      <c r="L113" s="21"/>
      <c r="M113" s="21"/>
      <c r="N113" s="21"/>
      <c r="O113" s="26" t="b">
        <v>0</v>
      </c>
      <c r="P113" s="32"/>
      <c r="Q113" s="39"/>
    </row>
    <row r="114" ht="22.5" customHeight="1">
      <c r="A114" s="21" t="s">
        <v>302</v>
      </c>
      <c r="B114" s="21" t="s">
        <v>303</v>
      </c>
      <c r="C114" s="21"/>
      <c r="D114" s="24"/>
      <c r="E114" s="24">
        <v>1987.0</v>
      </c>
      <c r="F114" s="26"/>
      <c r="G114" s="28" t="s">
        <v>53</v>
      </c>
      <c r="H114" s="21" t="s">
        <v>96</v>
      </c>
      <c r="I114" s="21"/>
      <c r="J114" s="21"/>
      <c r="K114" s="21"/>
      <c r="L114" s="21"/>
      <c r="M114" s="21"/>
      <c r="N114" s="21"/>
      <c r="O114" s="26" t="b">
        <v>0</v>
      </c>
      <c r="P114" s="32"/>
      <c r="Q114" s="39"/>
    </row>
    <row r="115" ht="22.5" customHeight="1">
      <c r="A115" s="21" t="s">
        <v>304</v>
      </c>
      <c r="B115" s="21" t="s">
        <v>303</v>
      </c>
      <c r="C115" s="21"/>
      <c r="D115" s="24"/>
      <c r="E115" s="24">
        <v>1987.0</v>
      </c>
      <c r="F115" s="26"/>
      <c r="G115" s="28" t="s">
        <v>39</v>
      </c>
      <c r="H115" s="21" t="s">
        <v>96</v>
      </c>
      <c r="I115" s="21"/>
      <c r="J115" s="21"/>
      <c r="K115" s="21"/>
      <c r="L115" s="21"/>
      <c r="M115" s="21"/>
      <c r="N115" s="21"/>
      <c r="O115" s="26" t="b">
        <v>0</v>
      </c>
      <c r="P115" s="32" t="s">
        <v>56</v>
      </c>
      <c r="Q115" s="39"/>
    </row>
    <row r="116" ht="22.5" customHeight="1">
      <c r="A116" s="21" t="s">
        <v>306</v>
      </c>
      <c r="B116" s="21" t="s">
        <v>307</v>
      </c>
      <c r="C116" s="21"/>
      <c r="D116" s="24"/>
      <c r="E116" s="24">
        <v>1986.0</v>
      </c>
      <c r="F116" s="26"/>
      <c r="G116" s="28" t="s">
        <v>23</v>
      </c>
      <c r="H116" s="21" t="s">
        <v>45</v>
      </c>
      <c r="I116" s="21"/>
      <c r="J116" s="21"/>
      <c r="K116" s="21"/>
      <c r="L116" s="21"/>
      <c r="M116" s="21"/>
      <c r="N116" s="21"/>
      <c r="O116" s="26" t="b">
        <v>0</v>
      </c>
      <c r="P116" s="32"/>
      <c r="Q116" s="39"/>
    </row>
    <row r="117" ht="22.5" customHeight="1">
      <c r="A117" s="21" t="s">
        <v>308</v>
      </c>
      <c r="B117" s="21" t="s">
        <v>309</v>
      </c>
      <c r="C117" s="21"/>
      <c r="D117" s="24"/>
      <c r="E117" s="24">
        <v>1990.0</v>
      </c>
      <c r="F117" s="26"/>
      <c r="G117" s="28" t="s">
        <v>39</v>
      </c>
      <c r="H117" s="21" t="s">
        <v>96</v>
      </c>
      <c r="I117" s="21"/>
      <c r="J117" s="21"/>
      <c r="K117" s="21"/>
      <c r="L117" s="21"/>
      <c r="M117" s="21"/>
      <c r="N117" s="21"/>
      <c r="O117" s="26" t="b">
        <v>0</v>
      </c>
      <c r="P117" s="32"/>
      <c r="Q117" s="39"/>
    </row>
    <row r="118" ht="22.5" customHeight="1">
      <c r="A118" s="21" t="s">
        <v>311</v>
      </c>
      <c r="B118" s="21" t="s">
        <v>312</v>
      </c>
      <c r="C118" s="21"/>
      <c r="D118" s="24"/>
      <c r="E118" s="24">
        <v>1991.0</v>
      </c>
      <c r="F118" s="26"/>
      <c r="G118" s="28" t="s">
        <v>39</v>
      </c>
      <c r="H118" s="21" t="s">
        <v>62</v>
      </c>
      <c r="I118" s="21"/>
      <c r="J118" s="21"/>
      <c r="K118" s="21"/>
      <c r="L118" s="21"/>
      <c r="M118" s="21"/>
      <c r="N118" s="21"/>
      <c r="O118" s="26" t="b">
        <v>0</v>
      </c>
      <c r="P118" s="32"/>
      <c r="Q118" s="39"/>
    </row>
    <row r="119" ht="22.5" customHeight="1">
      <c r="A119" s="21" t="s">
        <v>313</v>
      </c>
      <c r="B119" s="21" t="s">
        <v>314</v>
      </c>
      <c r="C119" s="21"/>
      <c r="D119" s="24"/>
      <c r="E119" s="24">
        <v>1990.0</v>
      </c>
      <c r="F119" s="26"/>
      <c r="G119" s="28" t="s">
        <v>39</v>
      </c>
      <c r="H119" s="21" t="s">
        <v>45</v>
      </c>
      <c r="I119" s="21"/>
      <c r="J119" s="21"/>
      <c r="K119" s="21"/>
      <c r="L119" s="21"/>
      <c r="M119" s="21"/>
      <c r="N119" s="21"/>
      <c r="O119" s="26" t="b">
        <v>0</v>
      </c>
      <c r="P119" s="32"/>
      <c r="Q119" s="39"/>
    </row>
    <row r="120" ht="22.5" customHeight="1">
      <c r="A120" s="21" t="s">
        <v>315</v>
      </c>
      <c r="B120" s="21" t="s">
        <v>316</v>
      </c>
      <c r="C120" s="21"/>
      <c r="D120" s="24"/>
      <c r="E120" s="24">
        <v>1990.0</v>
      </c>
      <c r="F120" s="26"/>
      <c r="G120" s="28" t="s">
        <v>89</v>
      </c>
      <c r="H120" s="21" t="s">
        <v>45</v>
      </c>
      <c r="I120" s="21"/>
      <c r="J120" s="21"/>
      <c r="K120" s="21"/>
      <c r="L120" s="21"/>
      <c r="M120" s="21"/>
      <c r="N120" s="21"/>
      <c r="O120" s="26" t="b">
        <v>0</v>
      </c>
      <c r="P120" s="32" t="s">
        <v>56</v>
      </c>
      <c r="Q120" s="39"/>
    </row>
    <row r="121" ht="22.5" customHeight="1">
      <c r="A121" s="21" t="s">
        <v>317</v>
      </c>
      <c r="B121" s="21" t="s">
        <v>316</v>
      </c>
      <c r="C121" s="21"/>
      <c r="D121" s="24"/>
      <c r="E121" s="24">
        <v>1990.0</v>
      </c>
      <c r="F121" s="26"/>
      <c r="G121" s="28" t="s">
        <v>39</v>
      </c>
      <c r="H121" s="21" t="s">
        <v>45</v>
      </c>
      <c r="I121" s="21"/>
      <c r="J121" s="21"/>
      <c r="K121" s="21"/>
      <c r="L121" s="21"/>
      <c r="M121" s="21"/>
      <c r="N121" s="21"/>
      <c r="O121" s="26" t="b">
        <v>0</v>
      </c>
      <c r="P121" s="32"/>
      <c r="Q121" s="39"/>
    </row>
    <row r="122" ht="22.5" customHeight="1">
      <c r="A122" s="21" t="s">
        <v>318</v>
      </c>
      <c r="B122" s="21" t="s">
        <v>319</v>
      </c>
      <c r="C122" s="21"/>
      <c r="D122" s="24"/>
      <c r="E122" s="24">
        <v>1993.0</v>
      </c>
      <c r="F122" s="26"/>
      <c r="G122" s="28" t="s">
        <v>100</v>
      </c>
      <c r="H122" s="21" t="s">
        <v>45</v>
      </c>
      <c r="I122" s="21"/>
      <c r="J122" s="21"/>
      <c r="K122" s="21"/>
      <c r="L122" s="21"/>
      <c r="M122" s="21"/>
      <c r="N122" s="21"/>
      <c r="O122" s="26" t="b">
        <v>0</v>
      </c>
      <c r="P122" s="32"/>
      <c r="Q122" s="39"/>
    </row>
    <row r="123" ht="22.5" customHeight="1">
      <c r="A123" s="21" t="s">
        <v>320</v>
      </c>
      <c r="B123" s="21" t="s">
        <v>321</v>
      </c>
      <c r="C123" s="21"/>
      <c r="D123" s="24"/>
      <c r="E123" s="24">
        <v>1993.0</v>
      </c>
      <c r="F123" s="26"/>
      <c r="G123" s="28" t="s">
        <v>89</v>
      </c>
      <c r="H123" s="21" t="s">
        <v>45</v>
      </c>
      <c r="I123" s="21"/>
      <c r="J123" s="21"/>
      <c r="K123" s="21"/>
      <c r="L123" s="21"/>
      <c r="M123" s="21"/>
      <c r="N123" s="21"/>
      <c r="O123" s="26" t="b">
        <v>0</v>
      </c>
      <c r="P123" s="32"/>
      <c r="Q123" s="39"/>
    </row>
    <row r="124" ht="22.5" customHeight="1">
      <c r="A124" s="21" t="s">
        <v>323</v>
      </c>
      <c r="B124" s="21" t="s">
        <v>324</v>
      </c>
      <c r="C124" s="21"/>
      <c r="D124" s="24"/>
      <c r="E124" s="24">
        <v>1990.0</v>
      </c>
      <c r="F124" s="26"/>
      <c r="G124" s="28" t="s">
        <v>39</v>
      </c>
      <c r="H124" s="21" t="s">
        <v>96</v>
      </c>
      <c r="I124" s="21"/>
      <c r="J124" s="21"/>
      <c r="K124" s="21"/>
      <c r="L124" s="21"/>
      <c r="M124" s="21"/>
      <c r="N124" s="21"/>
      <c r="O124" s="26" t="b">
        <v>0</v>
      </c>
      <c r="P124" s="32"/>
      <c r="Q124" s="39"/>
    </row>
    <row r="125" ht="22.5" customHeight="1">
      <c r="A125" s="21" t="s">
        <v>325</v>
      </c>
      <c r="B125" s="21" t="s">
        <v>326</v>
      </c>
      <c r="C125" s="21"/>
      <c r="D125" s="24"/>
      <c r="E125" s="24">
        <v>1989.0</v>
      </c>
      <c r="F125" s="26"/>
      <c r="G125" s="28" t="s">
        <v>53</v>
      </c>
      <c r="H125" s="21"/>
      <c r="I125" s="21"/>
      <c r="J125" s="21"/>
      <c r="K125" s="21"/>
      <c r="L125" s="21"/>
      <c r="M125" s="21"/>
      <c r="N125" s="21"/>
      <c r="O125" s="26"/>
      <c r="P125" s="32"/>
      <c r="Q125" s="39"/>
    </row>
    <row r="126" ht="22.5" customHeight="1">
      <c r="A126" s="21" t="s">
        <v>327</v>
      </c>
      <c r="B126" s="21" t="s">
        <v>326</v>
      </c>
      <c r="C126" s="21"/>
      <c r="D126" s="24"/>
      <c r="E126" s="24">
        <v>1989.0</v>
      </c>
      <c r="F126" s="26"/>
      <c r="G126" s="28" t="s">
        <v>39</v>
      </c>
      <c r="H126" s="21" t="s">
        <v>96</v>
      </c>
      <c r="I126" s="21"/>
      <c r="J126" s="21"/>
      <c r="K126" s="21"/>
      <c r="L126" s="21"/>
      <c r="M126" s="21"/>
      <c r="N126" s="21"/>
      <c r="O126" s="26" t="b">
        <v>1</v>
      </c>
      <c r="P126" s="32"/>
      <c r="Q126" s="39"/>
    </row>
    <row r="127" ht="22.5" customHeight="1">
      <c r="A127" s="21" t="s">
        <v>328</v>
      </c>
      <c r="B127" s="21" t="s">
        <v>329</v>
      </c>
      <c r="C127" s="21"/>
      <c r="D127" s="24"/>
      <c r="E127" s="24">
        <v>1993.0</v>
      </c>
      <c r="F127" s="26"/>
      <c r="G127" s="28" t="s">
        <v>100</v>
      </c>
      <c r="H127" s="21" t="s">
        <v>96</v>
      </c>
      <c r="I127" s="21"/>
      <c r="J127" s="21"/>
      <c r="K127" s="21"/>
      <c r="L127" s="21"/>
      <c r="M127" s="21"/>
      <c r="N127" s="21"/>
      <c r="O127" s="26" t="b">
        <v>0</v>
      </c>
      <c r="P127" s="32"/>
      <c r="Q127" s="39"/>
    </row>
    <row r="128" ht="22.5" customHeight="1">
      <c r="A128" s="21" t="s">
        <v>330</v>
      </c>
      <c r="B128" s="21" t="s">
        <v>331</v>
      </c>
      <c r="C128" s="21"/>
      <c r="D128" s="24"/>
      <c r="E128" s="24">
        <v>1990.0</v>
      </c>
      <c r="F128" s="26"/>
      <c r="G128" s="28" t="s">
        <v>39</v>
      </c>
      <c r="H128" s="21" t="s">
        <v>96</v>
      </c>
      <c r="I128" s="21"/>
      <c r="J128" s="21"/>
      <c r="K128" s="21"/>
      <c r="L128" s="21"/>
      <c r="M128" s="21"/>
      <c r="N128" s="21"/>
      <c r="O128" s="26" t="b">
        <v>1</v>
      </c>
      <c r="P128" s="32"/>
      <c r="Q128" s="39"/>
    </row>
    <row r="129" ht="22.5" customHeight="1">
      <c r="A129" s="21" t="s">
        <v>332</v>
      </c>
      <c r="B129" s="21" t="s">
        <v>333</v>
      </c>
      <c r="C129" s="21"/>
      <c r="D129" s="24"/>
      <c r="E129" s="24">
        <v>1993.0</v>
      </c>
      <c r="F129" s="26"/>
      <c r="G129" s="28" t="s">
        <v>100</v>
      </c>
      <c r="H129" s="21" t="s">
        <v>45</v>
      </c>
      <c r="I129" s="21"/>
      <c r="J129" s="21"/>
      <c r="K129" s="21"/>
      <c r="L129" s="21"/>
      <c r="M129" s="21"/>
      <c r="N129" s="21"/>
      <c r="O129" s="26" t="b">
        <v>0</v>
      </c>
      <c r="P129" s="32"/>
      <c r="Q129" s="39"/>
    </row>
    <row r="130" ht="22.5" customHeight="1">
      <c r="A130" s="21" t="s">
        <v>334</v>
      </c>
      <c r="B130" s="21" t="s">
        <v>335</v>
      </c>
      <c r="C130" s="21"/>
      <c r="D130" s="24"/>
      <c r="E130" s="24">
        <v>1988.0</v>
      </c>
      <c r="F130" s="26"/>
      <c r="G130" s="28" t="s">
        <v>53</v>
      </c>
      <c r="H130" s="21" t="s">
        <v>45</v>
      </c>
      <c r="I130" s="21"/>
      <c r="J130" s="21"/>
      <c r="K130" s="21"/>
      <c r="L130" s="21"/>
      <c r="M130" s="21"/>
      <c r="N130" s="21"/>
      <c r="O130" s="26" t="b">
        <v>1</v>
      </c>
      <c r="P130" s="32"/>
      <c r="Q130" s="39"/>
    </row>
    <row r="131" ht="22.5" customHeight="1">
      <c r="A131" s="21" t="s">
        <v>336</v>
      </c>
      <c r="B131" s="21" t="s">
        <v>335</v>
      </c>
      <c r="C131" s="21"/>
      <c r="D131" s="24"/>
      <c r="E131" s="24">
        <v>1988.0</v>
      </c>
      <c r="F131" s="26"/>
      <c r="G131" s="28" t="s">
        <v>39</v>
      </c>
      <c r="H131" s="21" t="s">
        <v>45</v>
      </c>
      <c r="I131" s="21"/>
      <c r="J131" s="21"/>
      <c r="K131" s="21"/>
      <c r="L131" s="21"/>
      <c r="M131" s="21"/>
      <c r="N131" s="21"/>
      <c r="O131" s="26" t="b">
        <v>1</v>
      </c>
      <c r="P131" s="32" t="s">
        <v>56</v>
      </c>
      <c r="Q131" s="39"/>
    </row>
    <row r="132" ht="22.5" customHeight="1">
      <c r="A132" s="21" t="s">
        <v>337</v>
      </c>
      <c r="B132" s="21" t="s">
        <v>338</v>
      </c>
      <c r="C132" s="21"/>
      <c r="D132" s="24"/>
      <c r="E132" s="24">
        <v>1993.0</v>
      </c>
      <c r="F132" s="26"/>
      <c r="G132" s="28" t="s">
        <v>100</v>
      </c>
      <c r="H132" s="21" t="s">
        <v>204</v>
      </c>
      <c r="I132" s="21"/>
      <c r="J132" s="21"/>
      <c r="K132" s="21"/>
      <c r="L132" s="21"/>
      <c r="M132" s="21"/>
      <c r="N132" s="21"/>
      <c r="O132" s="26" t="b">
        <v>0</v>
      </c>
      <c r="P132" s="32"/>
      <c r="Q132" s="39"/>
    </row>
    <row r="133" ht="22.5" customHeight="1">
      <c r="A133" s="21" t="s">
        <v>339</v>
      </c>
      <c r="B133" s="21" t="s">
        <v>340</v>
      </c>
      <c r="C133" s="21"/>
      <c r="D133" s="24"/>
      <c r="E133" s="24">
        <v>1987.0</v>
      </c>
      <c r="F133" s="26"/>
      <c r="G133" s="28" t="s">
        <v>39</v>
      </c>
      <c r="H133" s="21" t="s">
        <v>45</v>
      </c>
      <c r="I133" s="21"/>
      <c r="J133" s="21"/>
      <c r="K133" s="21"/>
      <c r="L133" s="21"/>
      <c r="M133" s="21"/>
      <c r="N133" s="21"/>
      <c r="O133" s="26" t="b">
        <v>0</v>
      </c>
      <c r="P133" s="32"/>
      <c r="Q133" s="39"/>
    </row>
    <row r="134" ht="22.5" customHeight="1">
      <c r="A134" s="21" t="s">
        <v>341</v>
      </c>
      <c r="B134" s="21" t="s">
        <v>342</v>
      </c>
      <c r="C134" s="21"/>
      <c r="D134" s="24"/>
      <c r="E134" s="24">
        <v>1993.0</v>
      </c>
      <c r="F134" s="26"/>
      <c r="G134" s="28" t="s">
        <v>140</v>
      </c>
      <c r="H134" s="21" t="s">
        <v>45</v>
      </c>
      <c r="I134" s="21"/>
      <c r="J134" s="21"/>
      <c r="K134" s="21"/>
      <c r="L134" s="21"/>
      <c r="M134" s="21"/>
      <c r="N134" s="21"/>
      <c r="O134" s="26" t="b">
        <v>0</v>
      </c>
      <c r="P134" s="32"/>
      <c r="Q134" s="39"/>
    </row>
    <row r="135" ht="22.5" customHeight="1">
      <c r="A135" s="21" t="s">
        <v>343</v>
      </c>
      <c r="B135" s="21" t="s">
        <v>344</v>
      </c>
      <c r="C135" s="21"/>
      <c r="D135" s="24"/>
      <c r="E135" s="24">
        <v>1998.0</v>
      </c>
      <c r="F135" s="26"/>
      <c r="G135" s="28" t="s">
        <v>89</v>
      </c>
      <c r="H135" s="21" t="s">
        <v>45</v>
      </c>
      <c r="I135" s="21"/>
      <c r="J135" s="21"/>
      <c r="K135" s="21"/>
      <c r="L135" s="21"/>
      <c r="M135" s="21"/>
      <c r="N135" s="21"/>
      <c r="O135" s="26" t="b">
        <v>0</v>
      </c>
      <c r="P135" s="32" t="s">
        <v>56</v>
      </c>
      <c r="Q135" s="39"/>
    </row>
    <row r="136" ht="22.5" customHeight="1">
      <c r="A136" s="21" t="s">
        <v>345</v>
      </c>
      <c r="B136" s="21" t="s">
        <v>346</v>
      </c>
      <c r="C136" s="21"/>
      <c r="D136" s="24"/>
      <c r="E136" s="24">
        <v>1992.0</v>
      </c>
      <c r="F136" s="26"/>
      <c r="G136" s="28" t="s">
        <v>39</v>
      </c>
      <c r="H136" s="21" t="s">
        <v>204</v>
      </c>
      <c r="I136" s="21"/>
      <c r="J136" s="21"/>
      <c r="K136" s="21"/>
      <c r="L136" s="21"/>
      <c r="M136" s="21"/>
      <c r="N136" s="21"/>
      <c r="O136" s="26" t="b">
        <v>0</v>
      </c>
      <c r="P136" s="32"/>
      <c r="Q136" s="39"/>
    </row>
    <row r="137" ht="22.5" customHeight="1">
      <c r="A137" s="21" t="s">
        <v>347</v>
      </c>
      <c r="B137" s="21" t="s">
        <v>348</v>
      </c>
      <c r="C137" s="21"/>
      <c r="D137" s="24"/>
      <c r="E137" s="24">
        <v>1991.0</v>
      </c>
      <c r="F137" s="26"/>
      <c r="G137" s="28" t="s">
        <v>39</v>
      </c>
      <c r="H137" s="21" t="s">
        <v>45</v>
      </c>
      <c r="I137" s="21"/>
      <c r="J137" s="21"/>
      <c r="K137" s="21"/>
      <c r="L137" s="21"/>
      <c r="M137" s="21"/>
      <c r="N137" s="21"/>
      <c r="O137" s="26" t="b">
        <v>0</v>
      </c>
      <c r="P137" s="32"/>
      <c r="Q137" s="39"/>
    </row>
    <row r="138" ht="22.5" customHeight="1">
      <c r="A138" s="21" t="s">
        <v>349</v>
      </c>
      <c r="B138" s="21" t="s">
        <v>350</v>
      </c>
      <c r="C138" s="21"/>
      <c r="D138" s="24"/>
      <c r="E138" s="24">
        <v>1988.0</v>
      </c>
      <c r="F138" s="26"/>
      <c r="G138" s="28" t="s">
        <v>39</v>
      </c>
      <c r="H138" s="21" t="s">
        <v>62</v>
      </c>
      <c r="I138" s="21"/>
      <c r="J138" s="21"/>
      <c r="K138" s="21"/>
      <c r="L138" s="21"/>
      <c r="M138" s="21"/>
      <c r="N138" s="21"/>
      <c r="O138" s="26" t="b">
        <v>0</v>
      </c>
      <c r="P138" s="32"/>
      <c r="Q138" s="39"/>
    </row>
    <row r="139" ht="22.5" customHeight="1">
      <c r="A139" s="21" t="s">
        <v>351</v>
      </c>
      <c r="B139" s="21" t="s">
        <v>352</v>
      </c>
      <c r="C139" s="21"/>
      <c r="D139" s="24"/>
      <c r="E139" s="24">
        <v>1986.0</v>
      </c>
      <c r="F139" s="26"/>
      <c r="G139" s="28" t="s">
        <v>53</v>
      </c>
      <c r="H139" s="21" t="s">
        <v>40</v>
      </c>
      <c r="I139" s="21"/>
      <c r="J139" s="21"/>
      <c r="K139" s="21"/>
      <c r="L139" s="21"/>
      <c r="M139" s="21"/>
      <c r="N139" s="21"/>
      <c r="O139" s="26" t="b">
        <v>0</v>
      </c>
      <c r="P139" s="32"/>
      <c r="Q139" s="39"/>
    </row>
    <row r="140" ht="22.5" customHeight="1">
      <c r="A140" s="21" t="s">
        <v>354</v>
      </c>
      <c r="B140" s="21" t="s">
        <v>355</v>
      </c>
      <c r="C140" s="21"/>
      <c r="D140" s="24"/>
      <c r="E140" s="24">
        <v>1993.0</v>
      </c>
      <c r="F140" s="26"/>
      <c r="G140" s="28" t="s">
        <v>140</v>
      </c>
      <c r="H140" s="21" t="s">
        <v>45</v>
      </c>
      <c r="I140" s="21"/>
      <c r="J140" s="21"/>
      <c r="K140" s="21"/>
      <c r="L140" s="21"/>
      <c r="M140" s="21"/>
      <c r="N140" s="21"/>
      <c r="O140" s="26" t="b">
        <v>0</v>
      </c>
      <c r="P140" s="32"/>
      <c r="Q140" s="39"/>
    </row>
    <row r="141" ht="22.5" customHeight="1">
      <c r="A141" s="21" t="s">
        <v>280</v>
      </c>
      <c r="B141" s="21" t="s">
        <v>356</v>
      </c>
      <c r="C141" s="21"/>
      <c r="D141" s="24"/>
      <c r="E141" s="24">
        <v>1993.0</v>
      </c>
      <c r="F141" s="26"/>
      <c r="G141" s="28" t="s">
        <v>100</v>
      </c>
      <c r="H141" s="21" t="s">
        <v>261</v>
      </c>
      <c r="I141" s="21"/>
      <c r="J141" s="21"/>
      <c r="K141" s="21"/>
      <c r="L141" s="21"/>
      <c r="M141" s="21"/>
      <c r="N141" s="21"/>
      <c r="O141" s="26" t="b">
        <v>0</v>
      </c>
      <c r="P141" s="32"/>
      <c r="Q141" s="39"/>
    </row>
    <row r="142" ht="22.5" customHeight="1">
      <c r="A142" s="21" t="s">
        <v>357</v>
      </c>
      <c r="B142" s="21" t="s">
        <v>358</v>
      </c>
      <c r="C142" s="21"/>
      <c r="D142" s="24"/>
      <c r="E142" s="24">
        <v>1988.0</v>
      </c>
      <c r="F142" s="26"/>
      <c r="G142" s="28" t="s">
        <v>53</v>
      </c>
      <c r="H142" s="21" t="s">
        <v>45</v>
      </c>
      <c r="I142" s="21"/>
      <c r="J142" s="21" t="s">
        <v>149</v>
      </c>
      <c r="K142" s="21"/>
      <c r="L142" s="21"/>
      <c r="M142" s="21"/>
      <c r="N142" s="21"/>
      <c r="O142" s="26" t="b">
        <v>1</v>
      </c>
      <c r="P142" s="32"/>
      <c r="Q142" s="39"/>
    </row>
    <row r="143" ht="22.5" customHeight="1">
      <c r="A143" s="21" t="s">
        <v>359</v>
      </c>
      <c r="B143" s="21" t="s">
        <v>360</v>
      </c>
      <c r="C143" s="21"/>
      <c r="D143" s="24"/>
      <c r="E143" s="24">
        <v>1991.0</v>
      </c>
      <c r="F143" s="26"/>
      <c r="G143" s="28" t="s">
        <v>39</v>
      </c>
      <c r="H143" s="21" t="s">
        <v>45</v>
      </c>
      <c r="I143" s="21"/>
      <c r="J143" s="21"/>
      <c r="K143" s="21"/>
      <c r="L143" s="21"/>
      <c r="M143" s="21"/>
      <c r="N143" s="21"/>
      <c r="O143" s="26" t="b">
        <v>0</v>
      </c>
      <c r="P143" s="32"/>
      <c r="Q143" s="39"/>
    </row>
    <row r="144" ht="22.5" customHeight="1">
      <c r="A144" s="21" t="s">
        <v>361</v>
      </c>
      <c r="B144" s="21" t="s">
        <v>362</v>
      </c>
      <c r="C144" s="21"/>
      <c r="D144" s="24"/>
      <c r="E144" s="24">
        <v>1998.0</v>
      </c>
      <c r="F144" s="26"/>
      <c r="G144" s="28" t="s">
        <v>89</v>
      </c>
      <c r="H144" s="21" t="s">
        <v>45</v>
      </c>
      <c r="I144" s="21"/>
      <c r="J144" s="21"/>
      <c r="K144" s="21"/>
      <c r="L144" s="21"/>
      <c r="M144" s="21"/>
      <c r="N144" s="21"/>
      <c r="O144" s="26" t="b">
        <v>0</v>
      </c>
      <c r="P144" s="32"/>
      <c r="Q144" s="39"/>
    </row>
    <row r="145" ht="22.5" customHeight="1">
      <c r="A145" s="21" t="s">
        <v>363</v>
      </c>
      <c r="B145" s="21" t="s">
        <v>364</v>
      </c>
      <c r="C145" s="21"/>
      <c r="D145" s="24"/>
      <c r="E145" s="24">
        <v>1992.0</v>
      </c>
      <c r="F145" s="26"/>
      <c r="G145" s="28" t="s">
        <v>39</v>
      </c>
      <c r="H145" s="21" t="s">
        <v>96</v>
      </c>
      <c r="I145" s="21"/>
      <c r="J145" s="21"/>
      <c r="K145" s="21"/>
      <c r="L145" s="21"/>
      <c r="M145" s="21"/>
      <c r="N145" s="21"/>
      <c r="O145" s="26" t="b">
        <v>0</v>
      </c>
      <c r="P145" s="32"/>
      <c r="Q145" s="39"/>
    </row>
    <row r="146" ht="22.5" customHeight="1">
      <c r="A146" s="21" t="s">
        <v>135</v>
      </c>
      <c r="B146" s="21" t="s">
        <v>365</v>
      </c>
      <c r="C146" s="21"/>
      <c r="D146" s="24"/>
      <c r="E146" s="24">
        <v>1987.0</v>
      </c>
      <c r="F146" s="26"/>
      <c r="G146" s="28" t="s">
        <v>39</v>
      </c>
      <c r="H146" s="21" t="s">
        <v>62</v>
      </c>
      <c r="I146" s="21"/>
      <c r="J146" s="21"/>
      <c r="K146" s="21"/>
      <c r="L146" s="21"/>
      <c r="M146" s="21"/>
      <c r="N146" s="21"/>
      <c r="O146" s="26" t="b">
        <v>0</v>
      </c>
      <c r="P146" s="32"/>
      <c r="Q146" s="39"/>
    </row>
    <row r="147" ht="22.5" customHeight="1">
      <c r="A147" s="21" t="s">
        <v>366</v>
      </c>
      <c r="B147" s="21" t="s">
        <v>367</v>
      </c>
      <c r="C147" s="21"/>
      <c r="D147" s="24"/>
      <c r="E147" s="24">
        <v>1987.0</v>
      </c>
      <c r="F147" s="26"/>
      <c r="G147" s="28" t="s">
        <v>53</v>
      </c>
      <c r="H147" s="21" t="s">
        <v>40</v>
      </c>
      <c r="I147" s="21"/>
      <c r="J147" s="21" t="s">
        <v>149</v>
      </c>
      <c r="K147" s="21"/>
      <c r="L147" s="21"/>
      <c r="M147" s="21"/>
      <c r="N147" s="21"/>
      <c r="O147" s="26" t="b">
        <v>0</v>
      </c>
      <c r="P147" s="32"/>
      <c r="Q147" s="39"/>
    </row>
    <row r="148" ht="22.5" customHeight="1">
      <c r="A148" s="21" t="s">
        <v>368</v>
      </c>
      <c r="B148" s="21" t="s">
        <v>367</v>
      </c>
      <c r="C148" s="21"/>
      <c r="D148" s="24"/>
      <c r="E148" s="24">
        <v>1987.0</v>
      </c>
      <c r="F148" s="26"/>
      <c r="G148" s="28" t="s">
        <v>39</v>
      </c>
      <c r="H148" s="21" t="s">
        <v>40</v>
      </c>
      <c r="I148" s="21"/>
      <c r="J148" s="21" t="s">
        <v>149</v>
      </c>
      <c r="K148" s="21"/>
      <c r="L148" s="21"/>
      <c r="M148" s="21"/>
      <c r="N148" s="21"/>
      <c r="O148" s="26" t="b">
        <v>0</v>
      </c>
      <c r="P148" s="32" t="s">
        <v>56</v>
      </c>
      <c r="Q148" s="39"/>
    </row>
    <row r="149" ht="22.5" customHeight="1">
      <c r="A149" s="21" t="s">
        <v>369</v>
      </c>
      <c r="B149" s="21" t="s">
        <v>370</v>
      </c>
      <c r="C149" s="21"/>
      <c r="D149" s="24"/>
      <c r="E149" s="24">
        <v>1992.0</v>
      </c>
      <c r="F149" s="26"/>
      <c r="G149" s="28" t="s">
        <v>39</v>
      </c>
      <c r="H149" s="21" t="s">
        <v>45</v>
      </c>
      <c r="I149" s="21"/>
      <c r="J149" s="21"/>
      <c r="K149" s="21"/>
      <c r="L149" s="21"/>
      <c r="M149" s="21"/>
      <c r="N149" s="21"/>
      <c r="O149" s="26" t="b">
        <v>1</v>
      </c>
      <c r="P149" s="32"/>
      <c r="Q149" s="39"/>
    </row>
    <row r="150" ht="22.5" customHeight="1">
      <c r="A150" s="21" t="s">
        <v>371</v>
      </c>
      <c r="B150" s="21" t="s">
        <v>372</v>
      </c>
      <c r="C150" s="21"/>
      <c r="D150" s="24"/>
      <c r="E150" s="24">
        <v>1990.0</v>
      </c>
      <c r="F150" s="26"/>
      <c r="G150" s="28" t="s">
        <v>53</v>
      </c>
      <c r="H150" s="21" t="s">
        <v>45</v>
      </c>
      <c r="I150" s="21"/>
      <c r="J150" s="21"/>
      <c r="K150" s="21"/>
      <c r="L150" s="21"/>
      <c r="M150" s="21"/>
      <c r="N150" s="21"/>
      <c r="O150" s="26" t="b">
        <v>0</v>
      </c>
      <c r="P150" s="32"/>
      <c r="Q150" s="39"/>
    </row>
    <row r="151" ht="22.5" customHeight="1">
      <c r="A151" s="21" t="s">
        <v>373</v>
      </c>
      <c r="B151" s="21" t="s">
        <v>372</v>
      </c>
      <c r="C151" s="21"/>
      <c r="D151" s="24"/>
      <c r="E151" s="24">
        <v>1990.0</v>
      </c>
      <c r="F151" s="26"/>
      <c r="G151" s="28" t="s">
        <v>39</v>
      </c>
      <c r="H151" s="21" t="s">
        <v>45</v>
      </c>
      <c r="I151" s="21"/>
      <c r="J151" s="21"/>
      <c r="K151" s="21"/>
      <c r="L151" s="21"/>
      <c r="M151" s="21"/>
      <c r="N151" s="21"/>
      <c r="O151" s="26" t="b">
        <v>0</v>
      </c>
      <c r="P151" s="32" t="s">
        <v>56</v>
      </c>
      <c r="Q151" s="39"/>
    </row>
    <row r="152" ht="22.5" customHeight="1">
      <c r="A152" s="21" t="s">
        <v>374</v>
      </c>
      <c r="B152" s="21" t="s">
        <v>375</v>
      </c>
      <c r="C152" s="21"/>
      <c r="D152" s="24"/>
      <c r="E152" s="24">
        <v>1993.0</v>
      </c>
      <c r="F152" s="26"/>
      <c r="G152" s="28" t="s">
        <v>100</v>
      </c>
      <c r="H152" s="21" t="s">
        <v>261</v>
      </c>
      <c r="I152" s="21"/>
      <c r="J152" s="21"/>
      <c r="K152" s="21"/>
      <c r="L152" s="21"/>
      <c r="M152" s="21"/>
      <c r="N152" s="21"/>
      <c r="O152" s="26" t="b">
        <v>0</v>
      </c>
      <c r="P152" s="32"/>
      <c r="Q152" s="39"/>
    </row>
    <row r="153" ht="22.5" customHeight="1">
      <c r="A153" s="21" t="s">
        <v>376</v>
      </c>
      <c r="B153" s="21" t="s">
        <v>377</v>
      </c>
      <c r="C153" s="21"/>
      <c r="D153" s="24"/>
      <c r="E153" s="24">
        <v>1996.0</v>
      </c>
      <c r="F153" s="26"/>
      <c r="G153" s="28" t="s">
        <v>89</v>
      </c>
      <c r="H153" s="21" t="s">
        <v>261</v>
      </c>
      <c r="I153" s="21"/>
      <c r="J153" s="21"/>
      <c r="K153" s="21"/>
      <c r="L153" s="21"/>
      <c r="M153" s="21"/>
      <c r="N153" s="21"/>
      <c r="O153" s="26" t="b">
        <v>0</v>
      </c>
      <c r="P153" s="32"/>
      <c r="Q153" s="39"/>
    </row>
    <row r="154" ht="22.5" customHeight="1">
      <c r="A154" s="21" t="s">
        <v>378</v>
      </c>
      <c r="B154" s="21" t="s">
        <v>379</v>
      </c>
      <c r="C154" s="21"/>
      <c r="D154" s="24"/>
      <c r="E154" s="24">
        <v>1994.0</v>
      </c>
      <c r="F154" s="26"/>
      <c r="G154" s="28" t="s">
        <v>100</v>
      </c>
      <c r="H154" s="21" t="s">
        <v>261</v>
      </c>
      <c r="I154" s="21"/>
      <c r="J154" s="21"/>
      <c r="K154" s="21"/>
      <c r="L154" s="21"/>
      <c r="M154" s="21"/>
      <c r="N154" s="21"/>
      <c r="O154" s="26" t="b">
        <v>0</v>
      </c>
      <c r="P154" s="32"/>
      <c r="Q154" s="39"/>
    </row>
    <row r="155" ht="22.5" customHeight="1">
      <c r="A155" s="21" t="s">
        <v>381</v>
      </c>
      <c r="B155" s="21" t="s">
        <v>382</v>
      </c>
      <c r="C155" s="21"/>
      <c r="D155" s="24"/>
      <c r="E155" s="24">
        <v>1991.0</v>
      </c>
      <c r="F155" s="26"/>
      <c r="G155" s="28" t="s">
        <v>39</v>
      </c>
      <c r="H155" s="21" t="s">
        <v>45</v>
      </c>
      <c r="I155" s="21"/>
      <c r="J155" s="21"/>
      <c r="K155" s="21"/>
      <c r="L155" s="21"/>
      <c r="M155" s="21"/>
      <c r="N155" s="21"/>
      <c r="O155" s="26" t="b">
        <v>0</v>
      </c>
      <c r="P155" s="32"/>
      <c r="Q155" s="39"/>
    </row>
    <row r="156" ht="22.5" customHeight="1">
      <c r="A156" s="21" t="s">
        <v>168</v>
      </c>
      <c r="B156" s="21" t="s">
        <v>383</v>
      </c>
      <c r="C156" s="21"/>
      <c r="D156" s="24"/>
      <c r="E156" s="24">
        <v>1992.0</v>
      </c>
      <c r="F156" s="26"/>
      <c r="G156" s="28" t="s">
        <v>39</v>
      </c>
      <c r="H156" s="21" t="s">
        <v>45</v>
      </c>
      <c r="I156" s="21"/>
      <c r="J156" s="21"/>
      <c r="K156" s="21"/>
      <c r="L156" s="21"/>
      <c r="M156" s="21"/>
      <c r="N156" s="21"/>
      <c r="O156" s="26" t="b">
        <v>0</v>
      </c>
      <c r="P156" s="32"/>
      <c r="Q156" s="39"/>
    </row>
    <row r="157" ht="22.5" customHeight="1">
      <c r="A157" s="21" t="s">
        <v>384</v>
      </c>
      <c r="B157" s="21" t="s">
        <v>385</v>
      </c>
      <c r="C157" s="21"/>
      <c r="D157" s="24"/>
      <c r="E157" s="24">
        <v>1985.0</v>
      </c>
      <c r="F157" s="26"/>
      <c r="G157" s="28" t="s">
        <v>39</v>
      </c>
      <c r="H157" s="21" t="s">
        <v>45</v>
      </c>
      <c r="I157" s="21"/>
      <c r="J157" s="21"/>
      <c r="K157" s="21"/>
      <c r="L157" s="21"/>
      <c r="M157" s="21"/>
      <c r="N157" s="21"/>
      <c r="O157" s="26" t="b">
        <v>0</v>
      </c>
      <c r="P157" s="32"/>
      <c r="Q157" s="39"/>
    </row>
    <row r="158" ht="22.5" customHeight="1">
      <c r="A158" s="21" t="s">
        <v>386</v>
      </c>
      <c r="B158" s="21" t="s">
        <v>387</v>
      </c>
      <c r="C158" s="21"/>
      <c r="D158" s="24"/>
      <c r="E158" s="24">
        <v>1992.0</v>
      </c>
      <c r="F158" s="26"/>
      <c r="G158" s="28" t="s">
        <v>39</v>
      </c>
      <c r="H158" s="21" t="s">
        <v>96</v>
      </c>
      <c r="I158" s="21"/>
      <c r="J158" s="21"/>
      <c r="K158" s="21"/>
      <c r="L158" s="21"/>
      <c r="M158" s="21"/>
      <c r="N158" s="21"/>
      <c r="O158" s="26" t="b">
        <v>0</v>
      </c>
      <c r="P158" s="32"/>
      <c r="Q158" s="39"/>
    </row>
    <row r="159" ht="22.5" customHeight="1">
      <c r="A159" s="21" t="s">
        <v>388</v>
      </c>
      <c r="B159" s="21" t="s">
        <v>389</v>
      </c>
      <c r="C159" s="21"/>
      <c r="D159" s="24"/>
      <c r="E159" s="24">
        <v>1990.0</v>
      </c>
      <c r="F159" s="26"/>
      <c r="G159" s="28" t="s">
        <v>53</v>
      </c>
      <c r="H159" s="21" t="s">
        <v>40</v>
      </c>
      <c r="I159" s="21"/>
      <c r="J159" s="21"/>
      <c r="K159" s="21"/>
      <c r="L159" s="21"/>
      <c r="M159" s="21"/>
      <c r="N159" s="21"/>
      <c r="O159" s="26" t="b">
        <v>0</v>
      </c>
      <c r="P159" s="32"/>
      <c r="Q159" s="39"/>
    </row>
    <row r="160" ht="22.5" customHeight="1">
      <c r="A160" s="21" t="s">
        <v>390</v>
      </c>
      <c r="B160" s="21" t="s">
        <v>391</v>
      </c>
      <c r="C160" s="21"/>
      <c r="D160" s="24"/>
      <c r="E160" s="24">
        <v>1987.0</v>
      </c>
      <c r="F160" s="26"/>
      <c r="G160" s="28" t="s">
        <v>89</v>
      </c>
      <c r="H160" s="21" t="s">
        <v>124</v>
      </c>
      <c r="I160" s="21"/>
      <c r="J160" s="21"/>
      <c r="K160" s="21"/>
      <c r="L160" s="21"/>
      <c r="M160" s="21"/>
      <c r="N160" s="21"/>
      <c r="O160" s="26" t="b">
        <v>1</v>
      </c>
      <c r="P160" s="32" t="s">
        <v>56</v>
      </c>
      <c r="Q160" s="39"/>
    </row>
    <row r="161" ht="22.5" customHeight="1">
      <c r="A161" s="21" t="s">
        <v>392</v>
      </c>
      <c r="B161" s="21" t="s">
        <v>391</v>
      </c>
      <c r="C161" s="21"/>
      <c r="D161" s="24"/>
      <c r="E161" s="24">
        <v>1987.0</v>
      </c>
      <c r="F161" s="26"/>
      <c r="G161" s="28" t="s">
        <v>53</v>
      </c>
      <c r="H161" s="21" t="s">
        <v>124</v>
      </c>
      <c r="I161" s="21"/>
      <c r="J161" s="21"/>
      <c r="K161" s="21"/>
      <c r="L161" s="21"/>
      <c r="M161" s="21"/>
      <c r="N161" s="21"/>
      <c r="O161" s="26" t="b">
        <v>1</v>
      </c>
      <c r="P161" s="32"/>
      <c r="Q161" s="39"/>
    </row>
    <row r="162" ht="22.5" customHeight="1">
      <c r="A162" s="21" t="s">
        <v>393</v>
      </c>
      <c r="B162" s="21" t="s">
        <v>395</v>
      </c>
      <c r="C162" s="21"/>
      <c r="D162" s="24"/>
      <c r="E162" s="24">
        <v>1989.0</v>
      </c>
      <c r="F162" s="26"/>
      <c r="G162" s="28" t="s">
        <v>53</v>
      </c>
      <c r="H162" s="21" t="s">
        <v>124</v>
      </c>
      <c r="I162" s="21"/>
      <c r="J162" s="21" t="s">
        <v>149</v>
      </c>
      <c r="K162" s="21"/>
      <c r="L162" s="21"/>
      <c r="M162" s="21"/>
      <c r="N162" s="21"/>
      <c r="O162" s="26" t="b">
        <v>0</v>
      </c>
      <c r="P162" s="32"/>
      <c r="Q162" s="39"/>
    </row>
    <row r="163" ht="22.5" customHeight="1">
      <c r="A163" s="21" t="s">
        <v>396</v>
      </c>
      <c r="B163" s="21" t="s">
        <v>397</v>
      </c>
      <c r="C163" s="21"/>
      <c r="D163" s="24"/>
      <c r="E163" s="24">
        <v>1992.0</v>
      </c>
      <c r="F163" s="26"/>
      <c r="G163" s="28" t="s">
        <v>39</v>
      </c>
      <c r="H163" s="21" t="s">
        <v>124</v>
      </c>
      <c r="I163" s="21"/>
      <c r="J163" s="21"/>
      <c r="K163" s="21"/>
      <c r="L163" s="21"/>
      <c r="M163" s="21"/>
      <c r="N163" s="21"/>
      <c r="O163" s="26" t="b">
        <v>0</v>
      </c>
      <c r="P163" s="32"/>
      <c r="Q163" s="39"/>
    </row>
    <row r="164" ht="22.5" customHeight="1">
      <c r="A164" s="21" t="s">
        <v>398</v>
      </c>
      <c r="B164" s="21" t="s">
        <v>399</v>
      </c>
      <c r="C164" s="21"/>
      <c r="D164" s="24"/>
      <c r="E164" s="24">
        <v>1990.0</v>
      </c>
      <c r="F164" s="26"/>
      <c r="G164" s="28" t="s">
        <v>53</v>
      </c>
      <c r="H164" s="21" t="s">
        <v>45</v>
      </c>
      <c r="I164" s="21"/>
      <c r="J164" s="21"/>
      <c r="K164" s="21"/>
      <c r="L164" s="21"/>
      <c r="M164" s="21"/>
      <c r="N164" s="21"/>
      <c r="O164" s="26" t="b">
        <v>0</v>
      </c>
      <c r="P164" s="32"/>
      <c r="Q164" s="39"/>
    </row>
    <row r="165" ht="22.5" customHeight="1">
      <c r="A165" s="21" t="s">
        <v>400</v>
      </c>
      <c r="B165" s="21" t="s">
        <v>399</v>
      </c>
      <c r="C165" s="21"/>
      <c r="D165" s="24"/>
      <c r="E165" s="24">
        <v>1990.0</v>
      </c>
      <c r="F165" s="26"/>
      <c r="G165" s="28" t="s">
        <v>39</v>
      </c>
      <c r="H165" s="21" t="s">
        <v>45</v>
      </c>
      <c r="I165" s="21"/>
      <c r="J165" s="21"/>
      <c r="K165" s="21"/>
      <c r="L165" s="21"/>
      <c r="M165" s="21"/>
      <c r="N165" s="21"/>
      <c r="O165" s="26" t="b">
        <v>0</v>
      </c>
      <c r="P165" s="32" t="s">
        <v>56</v>
      </c>
      <c r="Q165" s="39"/>
    </row>
    <row r="166" ht="22.5" customHeight="1">
      <c r="A166" s="21" t="s">
        <v>286</v>
      </c>
      <c r="B166" s="21" t="s">
        <v>401</v>
      </c>
      <c r="C166" s="21"/>
      <c r="D166" s="24"/>
      <c r="E166" s="24">
        <v>1987.0</v>
      </c>
      <c r="F166" s="26"/>
      <c r="G166" s="28" t="s">
        <v>89</v>
      </c>
      <c r="H166" s="21" t="s">
        <v>62</v>
      </c>
      <c r="I166" s="21"/>
      <c r="J166" s="21"/>
      <c r="K166" s="21"/>
      <c r="L166" s="21"/>
      <c r="M166" s="21"/>
      <c r="N166" s="21"/>
      <c r="O166" s="26" t="b">
        <v>0</v>
      </c>
      <c r="P166" s="32" t="s">
        <v>56</v>
      </c>
      <c r="Q166" s="39"/>
    </row>
    <row r="167" ht="22.5" customHeight="1">
      <c r="A167" s="21" t="s">
        <v>176</v>
      </c>
      <c r="B167" s="21" t="s">
        <v>401</v>
      </c>
      <c r="C167" s="21"/>
      <c r="D167" s="24"/>
      <c r="E167" s="24">
        <v>1987.0</v>
      </c>
      <c r="F167" s="26"/>
      <c r="G167" s="28" t="s">
        <v>39</v>
      </c>
      <c r="H167" s="21" t="s">
        <v>62</v>
      </c>
      <c r="I167" s="21"/>
      <c r="J167" s="21"/>
      <c r="K167" s="21"/>
      <c r="L167" s="21"/>
      <c r="M167" s="21"/>
      <c r="N167" s="21"/>
      <c r="O167" s="26" t="b">
        <v>0</v>
      </c>
      <c r="P167" s="32"/>
      <c r="Q167" s="39"/>
    </row>
    <row r="168" ht="22.5" customHeight="1">
      <c r="A168" s="21" t="s">
        <v>402</v>
      </c>
      <c r="B168" s="21" t="s">
        <v>403</v>
      </c>
      <c r="C168" s="21"/>
      <c r="D168" s="24"/>
      <c r="E168" s="24">
        <v>1992.0</v>
      </c>
      <c r="F168" s="26"/>
      <c r="G168" s="28" t="s">
        <v>100</v>
      </c>
      <c r="H168" s="21" t="s">
        <v>261</v>
      </c>
      <c r="I168" s="21"/>
      <c r="J168" s="21"/>
      <c r="K168" s="21"/>
      <c r="L168" s="21"/>
      <c r="M168" s="21"/>
      <c r="N168" s="21"/>
      <c r="O168" s="26" t="b">
        <v>0</v>
      </c>
      <c r="P168" s="32"/>
      <c r="Q168" s="39"/>
    </row>
    <row r="169" ht="22.5" customHeight="1">
      <c r="A169" s="21" t="s">
        <v>404</v>
      </c>
      <c r="B169" s="21" t="s">
        <v>405</v>
      </c>
      <c r="C169" s="21"/>
      <c r="D169" s="24"/>
      <c r="E169" s="24">
        <v>1991.0</v>
      </c>
      <c r="F169" s="26"/>
      <c r="G169" s="28" t="s">
        <v>100</v>
      </c>
      <c r="H169" s="21" t="s">
        <v>204</v>
      </c>
      <c r="I169" s="21"/>
      <c r="J169" s="21"/>
      <c r="K169" s="21"/>
      <c r="L169" s="21"/>
      <c r="M169" s="21"/>
      <c r="N169" s="21"/>
      <c r="O169" s="26" t="b">
        <v>0</v>
      </c>
      <c r="P169" s="32"/>
      <c r="Q169" s="39"/>
    </row>
    <row r="170" ht="22.5" customHeight="1">
      <c r="A170" s="21" t="s">
        <v>406</v>
      </c>
      <c r="B170" s="21" t="s">
        <v>407</v>
      </c>
      <c r="C170" s="21"/>
      <c r="D170" s="24"/>
      <c r="E170" s="24">
        <v>1989.0</v>
      </c>
      <c r="F170" s="26"/>
      <c r="G170" s="28" t="s">
        <v>53</v>
      </c>
      <c r="H170" s="21" t="s">
        <v>40</v>
      </c>
      <c r="I170" s="21"/>
      <c r="J170" s="21" t="s">
        <v>149</v>
      </c>
      <c r="K170" s="21"/>
      <c r="L170" s="21"/>
      <c r="M170" s="21"/>
      <c r="N170" s="21"/>
      <c r="O170" s="26" t="b">
        <v>1</v>
      </c>
      <c r="P170" s="32"/>
      <c r="Q170" s="39"/>
    </row>
    <row r="171" ht="22.5" customHeight="1">
      <c r="A171" s="21" t="s">
        <v>322</v>
      </c>
      <c r="B171" s="21" t="s">
        <v>409</v>
      </c>
      <c r="C171" s="21"/>
      <c r="D171" s="24"/>
      <c r="E171" s="24">
        <v>1988.0</v>
      </c>
      <c r="F171" s="26"/>
      <c r="G171" s="28" t="s">
        <v>39</v>
      </c>
      <c r="H171" s="21" t="s">
        <v>40</v>
      </c>
      <c r="I171" s="21"/>
      <c r="J171" s="21"/>
      <c r="K171" s="21"/>
      <c r="L171" s="21"/>
      <c r="M171" s="21"/>
      <c r="N171" s="21"/>
      <c r="O171" s="26" t="b">
        <v>0</v>
      </c>
      <c r="P171" s="32"/>
      <c r="Q171" s="39"/>
    </row>
    <row r="172" ht="22.5" customHeight="1">
      <c r="A172" s="21" t="s">
        <v>394</v>
      </c>
      <c r="B172" s="21" t="s">
        <v>410</v>
      </c>
      <c r="C172" s="21"/>
      <c r="D172" s="24"/>
      <c r="E172" s="24">
        <v>1993.0</v>
      </c>
      <c r="F172" s="26"/>
      <c r="G172" s="28" t="s">
        <v>100</v>
      </c>
      <c r="H172" s="21" t="s">
        <v>40</v>
      </c>
      <c r="I172" s="21"/>
      <c r="J172" s="21"/>
      <c r="K172" s="21"/>
      <c r="L172" s="21"/>
      <c r="M172" s="21"/>
      <c r="N172" s="21"/>
      <c r="O172" s="26" t="b">
        <v>0</v>
      </c>
      <c r="P172" s="32"/>
      <c r="Q172" s="39"/>
    </row>
    <row r="173" ht="22.5" customHeight="1">
      <c r="A173" s="21" t="s">
        <v>411</v>
      </c>
      <c r="B173" s="21" t="s">
        <v>412</v>
      </c>
      <c r="C173" s="21"/>
      <c r="D173" s="24"/>
      <c r="E173" s="24">
        <v>1993.0</v>
      </c>
      <c r="F173" s="26"/>
      <c r="G173" s="28" t="s">
        <v>140</v>
      </c>
      <c r="H173" s="21" t="s">
        <v>45</v>
      </c>
      <c r="I173" s="21"/>
      <c r="J173" s="21"/>
      <c r="K173" s="21"/>
      <c r="L173" s="21"/>
      <c r="M173" s="21"/>
      <c r="N173" s="21"/>
      <c r="O173" s="26" t="b">
        <v>0</v>
      </c>
      <c r="P173" s="32"/>
      <c r="Q173" s="39"/>
    </row>
    <row r="174" ht="22.5" customHeight="1">
      <c r="A174" s="21" t="s">
        <v>413</v>
      </c>
      <c r="B174" s="21" t="s">
        <v>414</v>
      </c>
      <c r="C174" s="21"/>
      <c r="D174" s="24"/>
      <c r="E174" s="24">
        <v>1992.0</v>
      </c>
      <c r="F174" s="26"/>
      <c r="G174" s="28" t="s">
        <v>100</v>
      </c>
      <c r="H174" s="21" t="s">
        <v>45</v>
      </c>
      <c r="I174" s="21"/>
      <c r="J174" s="21"/>
      <c r="K174" s="21"/>
      <c r="L174" s="21"/>
      <c r="M174" s="21"/>
      <c r="N174" s="21"/>
      <c r="O174" s="26" t="b">
        <v>0</v>
      </c>
      <c r="P174" s="32"/>
      <c r="Q174" s="39"/>
    </row>
    <row r="175" ht="22.5" customHeight="1">
      <c r="A175" s="21" t="s">
        <v>415</v>
      </c>
      <c r="B175" s="21" t="s">
        <v>416</v>
      </c>
      <c r="C175" s="21"/>
      <c r="D175" s="24"/>
      <c r="E175" s="24">
        <v>1986.0</v>
      </c>
      <c r="F175" s="26"/>
      <c r="G175" s="28" t="s">
        <v>53</v>
      </c>
      <c r="H175" s="21" t="s">
        <v>45</v>
      </c>
      <c r="I175" s="21"/>
      <c r="J175" s="21"/>
      <c r="K175" s="21"/>
      <c r="L175" s="21"/>
      <c r="M175" s="21"/>
      <c r="N175" s="21"/>
      <c r="O175" s="26" t="b">
        <v>0</v>
      </c>
      <c r="P175" s="32"/>
      <c r="Q175" s="39"/>
    </row>
    <row r="176" ht="22.5" customHeight="1">
      <c r="A176" s="21" t="s">
        <v>97</v>
      </c>
      <c r="B176" s="21" t="s">
        <v>417</v>
      </c>
      <c r="C176" s="21"/>
      <c r="D176" s="24"/>
      <c r="E176" s="24">
        <v>1991.0</v>
      </c>
      <c r="F176" s="26"/>
      <c r="G176" s="28" t="s">
        <v>39</v>
      </c>
      <c r="H176" s="21" t="s">
        <v>45</v>
      </c>
      <c r="I176" s="21"/>
      <c r="J176" s="21"/>
      <c r="K176" s="21"/>
      <c r="L176" s="21"/>
      <c r="M176" s="21"/>
      <c r="N176" s="21"/>
      <c r="O176" s="26" t="b">
        <v>0</v>
      </c>
      <c r="P176" s="32"/>
      <c r="Q176" s="39"/>
    </row>
    <row r="177" ht="22.5" customHeight="1">
      <c r="A177" s="21" t="s">
        <v>418</v>
      </c>
      <c r="B177" s="21" t="s">
        <v>420</v>
      </c>
      <c r="C177" s="21"/>
      <c r="D177" s="24"/>
      <c r="E177" s="24">
        <v>1989.0</v>
      </c>
      <c r="F177" s="26"/>
      <c r="G177" s="28" t="s">
        <v>53</v>
      </c>
      <c r="H177" s="21" t="s">
        <v>45</v>
      </c>
      <c r="I177" s="21"/>
      <c r="J177" s="21"/>
      <c r="K177" s="21"/>
      <c r="L177" s="21"/>
      <c r="M177" s="21"/>
      <c r="N177" s="21"/>
      <c r="O177" s="26" t="b">
        <v>0</v>
      </c>
      <c r="P177" s="32"/>
      <c r="Q177" s="39"/>
    </row>
    <row r="178" ht="22.5" customHeight="1">
      <c r="A178" s="21" t="s">
        <v>228</v>
      </c>
      <c r="B178" s="21" t="s">
        <v>420</v>
      </c>
      <c r="C178" s="21"/>
      <c r="D178" s="24"/>
      <c r="E178" s="24">
        <v>1989.0</v>
      </c>
      <c r="F178" s="26"/>
      <c r="G178" s="28" t="s">
        <v>39</v>
      </c>
      <c r="H178" s="21" t="s">
        <v>45</v>
      </c>
      <c r="I178" s="21"/>
      <c r="J178" s="21"/>
      <c r="K178" s="21"/>
      <c r="L178" s="21"/>
      <c r="M178" s="21"/>
      <c r="N178" s="21"/>
      <c r="O178" s="26" t="b">
        <v>0</v>
      </c>
      <c r="P178" s="32" t="s">
        <v>56</v>
      </c>
      <c r="Q178" s="39"/>
    </row>
    <row r="179" ht="22.5" customHeight="1">
      <c r="A179" s="21" t="s">
        <v>421</v>
      </c>
      <c r="B179" s="21" t="s">
        <v>422</v>
      </c>
      <c r="C179" s="21"/>
      <c r="D179" s="24"/>
      <c r="E179" s="24">
        <v>1995.0</v>
      </c>
      <c r="F179" s="26"/>
      <c r="G179" s="28" t="s">
        <v>100</v>
      </c>
      <c r="H179" s="21" t="s">
        <v>45</v>
      </c>
      <c r="I179" s="21"/>
      <c r="J179" s="21"/>
      <c r="K179" s="21"/>
      <c r="L179" s="21"/>
      <c r="M179" s="21"/>
      <c r="N179" s="21"/>
      <c r="O179" s="26" t="b">
        <v>0</v>
      </c>
      <c r="P179" s="32"/>
      <c r="Q179" s="39"/>
    </row>
    <row r="180" ht="22.5" customHeight="1">
      <c r="A180" s="21" t="s">
        <v>424</v>
      </c>
      <c r="B180" s="21" t="s">
        <v>425</v>
      </c>
      <c r="C180" s="21"/>
      <c r="D180" s="24"/>
      <c r="E180" s="24">
        <v>1988.0</v>
      </c>
      <c r="F180" s="26"/>
      <c r="G180" s="28" t="s">
        <v>53</v>
      </c>
      <c r="H180" s="21" t="s">
        <v>41</v>
      </c>
      <c r="I180" s="21"/>
      <c r="J180" s="21"/>
      <c r="K180" s="21"/>
      <c r="L180" s="21"/>
      <c r="M180" s="21"/>
      <c r="N180" s="21"/>
      <c r="O180" s="26" t="b">
        <v>1</v>
      </c>
      <c r="P180" s="32"/>
      <c r="Q180" s="39"/>
    </row>
    <row r="181" ht="22.5" customHeight="1">
      <c r="A181" s="21" t="s">
        <v>426</v>
      </c>
      <c r="B181" s="21" t="s">
        <v>427</v>
      </c>
      <c r="C181" s="21"/>
      <c r="D181" s="24"/>
      <c r="E181" s="24">
        <v>1990.0</v>
      </c>
      <c r="F181" s="26"/>
      <c r="G181" s="28" t="s">
        <v>53</v>
      </c>
      <c r="H181" s="21" t="s">
        <v>124</v>
      </c>
      <c r="I181" s="21"/>
      <c r="J181" s="21"/>
      <c r="K181" s="21"/>
      <c r="L181" s="21"/>
      <c r="M181" s="21"/>
      <c r="N181" s="21"/>
      <c r="O181" s="26" t="b">
        <v>0</v>
      </c>
      <c r="P181" s="32"/>
      <c r="Q181" s="39"/>
    </row>
    <row r="182" ht="22.5" customHeight="1">
      <c r="A182" s="21" t="s">
        <v>428</v>
      </c>
      <c r="B182" s="21" t="s">
        <v>427</v>
      </c>
      <c r="C182" s="21"/>
      <c r="D182" s="24"/>
      <c r="E182" s="24">
        <v>1990.0</v>
      </c>
      <c r="F182" s="26"/>
      <c r="G182" s="28" t="s">
        <v>39</v>
      </c>
      <c r="H182" s="21" t="s">
        <v>124</v>
      </c>
      <c r="I182" s="21"/>
      <c r="J182" s="21"/>
      <c r="K182" s="21"/>
      <c r="L182" s="21"/>
      <c r="M182" s="21"/>
      <c r="N182" s="21"/>
      <c r="O182" s="26" t="b">
        <v>0</v>
      </c>
      <c r="P182" s="32" t="s">
        <v>56</v>
      </c>
      <c r="Q182" s="39"/>
    </row>
    <row r="183" ht="22.5" customHeight="1">
      <c r="A183" s="21" t="s">
        <v>429</v>
      </c>
      <c r="B183" s="21" t="s">
        <v>430</v>
      </c>
      <c r="C183" s="21"/>
      <c r="D183" s="24"/>
      <c r="E183" s="24">
        <v>1993.0</v>
      </c>
      <c r="F183" s="26"/>
      <c r="G183" s="28" t="s">
        <v>89</v>
      </c>
      <c r="H183" s="21" t="s">
        <v>45</v>
      </c>
      <c r="I183" s="21"/>
      <c r="J183" s="21"/>
      <c r="K183" s="21"/>
      <c r="L183" s="21"/>
      <c r="M183" s="21"/>
      <c r="N183" s="21"/>
      <c r="O183" s="26" t="b">
        <v>0</v>
      </c>
      <c r="P183" s="32"/>
      <c r="Q183" s="39"/>
    </row>
    <row r="184" ht="22.5" customHeight="1">
      <c r="A184" s="21" t="s">
        <v>431</v>
      </c>
      <c r="B184" s="21" t="s">
        <v>432</v>
      </c>
      <c r="C184" s="21"/>
      <c r="D184" s="24"/>
      <c r="E184" s="24">
        <v>1988.0</v>
      </c>
      <c r="F184" s="26"/>
      <c r="G184" s="28" t="s">
        <v>53</v>
      </c>
      <c r="H184" s="21" t="s">
        <v>40</v>
      </c>
      <c r="I184" s="21"/>
      <c r="J184" s="21"/>
      <c r="K184" s="21"/>
      <c r="L184" s="21"/>
      <c r="M184" s="21"/>
      <c r="N184" s="21"/>
      <c r="O184" s="26" t="b">
        <v>1</v>
      </c>
      <c r="P184" s="32"/>
      <c r="Q184" s="39"/>
    </row>
    <row r="185" ht="22.5" customHeight="1">
      <c r="A185" s="21" t="s">
        <v>235</v>
      </c>
      <c r="B185" s="21" t="s">
        <v>433</v>
      </c>
      <c r="C185" s="21"/>
      <c r="D185" s="24"/>
      <c r="E185" s="24">
        <v>1988.0</v>
      </c>
      <c r="F185" s="26"/>
      <c r="G185" s="28" t="s">
        <v>39</v>
      </c>
      <c r="H185" s="21" t="s">
        <v>45</v>
      </c>
      <c r="I185" s="21"/>
      <c r="J185" s="21"/>
      <c r="K185" s="21"/>
      <c r="L185" s="21"/>
      <c r="M185" s="21"/>
      <c r="N185" s="21"/>
      <c r="O185" s="26" t="b">
        <v>1</v>
      </c>
      <c r="P185" s="32"/>
      <c r="Q185" s="39"/>
    </row>
    <row r="186" ht="22.5" customHeight="1">
      <c r="A186" s="21" t="s">
        <v>121</v>
      </c>
      <c r="B186" s="21" t="s">
        <v>434</v>
      </c>
      <c r="C186" s="21"/>
      <c r="D186" s="24"/>
      <c r="E186" s="24">
        <v>1989.0</v>
      </c>
      <c r="F186" s="26"/>
      <c r="G186" s="28" t="s">
        <v>39</v>
      </c>
      <c r="H186" s="21" t="s">
        <v>45</v>
      </c>
      <c r="I186" s="21"/>
      <c r="J186" s="21"/>
      <c r="K186" s="21"/>
      <c r="L186" s="21"/>
      <c r="M186" s="21"/>
      <c r="N186" s="21"/>
      <c r="O186" s="26" t="b">
        <v>1</v>
      </c>
      <c r="P186" s="32"/>
      <c r="Q186" s="39"/>
    </row>
    <row r="187" ht="22.5" customHeight="1">
      <c r="A187" s="21" t="s">
        <v>436</v>
      </c>
      <c r="B187" s="21" t="s">
        <v>437</v>
      </c>
      <c r="C187" s="21"/>
      <c r="D187" s="24"/>
      <c r="E187" s="24">
        <v>1993.0</v>
      </c>
      <c r="F187" s="26"/>
      <c r="G187" s="28" t="s">
        <v>140</v>
      </c>
      <c r="H187" s="21" t="s">
        <v>45</v>
      </c>
      <c r="I187" s="21"/>
      <c r="J187" s="21"/>
      <c r="K187" s="21"/>
      <c r="L187" s="21"/>
      <c r="M187" s="21"/>
      <c r="N187" s="21"/>
      <c r="O187" s="26" t="b">
        <v>0</v>
      </c>
      <c r="P187" s="32"/>
      <c r="Q187" s="39"/>
    </row>
    <row r="188" ht="22.5" customHeight="1">
      <c r="A188" s="21" t="s">
        <v>438</v>
      </c>
      <c r="B188" s="21" t="s">
        <v>439</v>
      </c>
      <c r="C188" s="21"/>
      <c r="D188" s="24"/>
      <c r="E188" s="24">
        <v>1988.0</v>
      </c>
      <c r="F188" s="26"/>
      <c r="G188" s="28" t="s">
        <v>53</v>
      </c>
      <c r="H188" s="21" t="s">
        <v>45</v>
      </c>
      <c r="I188" s="21"/>
      <c r="J188" s="21"/>
      <c r="K188" s="21"/>
      <c r="L188" s="21"/>
      <c r="M188" s="21"/>
      <c r="N188" s="21"/>
      <c r="O188" s="26" t="b">
        <v>1</v>
      </c>
      <c r="P188" s="32"/>
      <c r="Q188" s="39"/>
    </row>
    <row r="189" ht="22.5" customHeight="1">
      <c r="A189" s="21" t="s">
        <v>293</v>
      </c>
      <c r="B189" s="21" t="s">
        <v>440</v>
      </c>
      <c r="C189" s="21"/>
      <c r="D189" s="24"/>
      <c r="E189" s="24">
        <v>1994.0</v>
      </c>
      <c r="F189" s="26"/>
      <c r="G189" s="28" t="s">
        <v>100</v>
      </c>
      <c r="H189" s="21" t="s">
        <v>124</v>
      </c>
      <c r="I189" s="21"/>
      <c r="J189" s="21"/>
      <c r="K189" s="21"/>
      <c r="L189" s="21"/>
      <c r="M189" s="21"/>
      <c r="N189" s="21"/>
      <c r="O189" s="26" t="b">
        <v>0</v>
      </c>
      <c r="P189" s="32"/>
      <c r="Q189" s="39"/>
    </row>
    <row r="190" ht="22.5" customHeight="1">
      <c r="A190" s="21" t="s">
        <v>442</v>
      </c>
      <c r="B190" s="21" t="s">
        <v>443</v>
      </c>
      <c r="C190" s="21"/>
      <c r="D190" s="24"/>
      <c r="E190" s="24">
        <v>1993.0</v>
      </c>
      <c r="F190" s="26"/>
      <c r="G190" s="28" t="s">
        <v>89</v>
      </c>
      <c r="H190" s="21" t="s">
        <v>45</v>
      </c>
      <c r="I190" s="21"/>
      <c r="J190" s="21"/>
      <c r="K190" s="21"/>
      <c r="L190" s="21"/>
      <c r="M190" s="21"/>
      <c r="N190" s="21"/>
      <c r="O190" s="26" t="b">
        <v>0</v>
      </c>
      <c r="P190" s="32"/>
      <c r="Q190" s="39"/>
    </row>
    <row r="191" ht="22.5" customHeight="1">
      <c r="A191" s="21" t="s">
        <v>444</v>
      </c>
      <c r="B191" s="21" t="s">
        <v>445</v>
      </c>
      <c r="C191" s="21"/>
      <c r="D191" s="24"/>
      <c r="E191" s="24">
        <v>1993.0</v>
      </c>
      <c r="F191" s="26"/>
      <c r="G191" s="28" t="s">
        <v>100</v>
      </c>
      <c r="H191" s="21" t="s">
        <v>45</v>
      </c>
      <c r="I191" s="21"/>
      <c r="J191" s="21"/>
      <c r="K191" s="21"/>
      <c r="L191" s="21"/>
      <c r="M191" s="21"/>
      <c r="N191" s="21"/>
      <c r="O191" s="26" t="b">
        <v>0</v>
      </c>
      <c r="P191" s="32"/>
      <c r="Q191" s="39"/>
    </row>
    <row r="192" ht="22.5" customHeight="1">
      <c r="A192" s="21" t="s">
        <v>447</v>
      </c>
      <c r="B192" s="21" t="s">
        <v>448</v>
      </c>
      <c r="C192" s="21"/>
      <c r="D192" s="24"/>
      <c r="E192" s="24">
        <v>1987.0</v>
      </c>
      <c r="F192" s="26"/>
      <c r="G192" s="28" t="s">
        <v>53</v>
      </c>
      <c r="H192" s="21" t="s">
        <v>45</v>
      </c>
      <c r="I192" s="21"/>
      <c r="J192" s="21"/>
      <c r="K192" s="21"/>
      <c r="L192" s="21"/>
      <c r="M192" s="21"/>
      <c r="N192" s="21"/>
      <c r="O192" s="26" t="b">
        <v>0</v>
      </c>
      <c r="P192" s="32"/>
      <c r="Q192" s="39"/>
    </row>
    <row r="193" ht="22.5" customHeight="1">
      <c r="A193" s="21" t="s">
        <v>449</v>
      </c>
      <c r="B193" s="21" t="s">
        <v>450</v>
      </c>
      <c r="C193" s="21"/>
      <c r="D193" s="24"/>
      <c r="E193" s="24">
        <v>1991.0</v>
      </c>
      <c r="F193" s="26"/>
      <c r="G193" s="28" t="s">
        <v>39</v>
      </c>
      <c r="H193" s="21" t="s">
        <v>45</v>
      </c>
      <c r="I193" s="21"/>
      <c r="J193" s="21"/>
      <c r="K193" s="21"/>
      <c r="L193" s="21"/>
      <c r="M193" s="21"/>
      <c r="N193" s="21"/>
      <c r="O193" s="26" t="b">
        <v>0</v>
      </c>
      <c r="P193" s="32"/>
      <c r="Q193" s="39"/>
    </row>
    <row r="194" ht="22.5" customHeight="1">
      <c r="A194" s="21" t="s">
        <v>90</v>
      </c>
      <c r="B194" s="21" t="s">
        <v>451</v>
      </c>
      <c r="C194" s="21"/>
      <c r="D194" s="24"/>
      <c r="E194" s="24">
        <v>1992.0</v>
      </c>
      <c r="F194" s="26"/>
      <c r="G194" s="28" t="s">
        <v>39</v>
      </c>
      <c r="H194" s="21" t="s">
        <v>41</v>
      </c>
      <c r="I194" s="21"/>
      <c r="J194" s="21"/>
      <c r="K194" s="21"/>
      <c r="L194" s="21"/>
      <c r="M194" s="21"/>
      <c r="N194" s="21"/>
      <c r="O194" s="26" t="b">
        <v>0</v>
      </c>
      <c r="P194" s="32"/>
      <c r="Q194" s="39"/>
    </row>
    <row r="195" ht="22.5" customHeight="1">
      <c r="A195" s="21" t="s">
        <v>452</v>
      </c>
      <c r="B195" s="21" t="s">
        <v>453</v>
      </c>
      <c r="C195" s="21"/>
      <c r="D195" s="24"/>
      <c r="E195" s="24">
        <v>1995.0</v>
      </c>
      <c r="F195" s="26"/>
      <c r="G195" s="28" t="s">
        <v>100</v>
      </c>
      <c r="H195" s="21" t="s">
        <v>45</v>
      </c>
      <c r="I195" s="21"/>
      <c r="J195" s="21"/>
      <c r="K195" s="21"/>
      <c r="L195" s="21"/>
      <c r="M195" s="21"/>
      <c r="N195" s="21"/>
      <c r="O195" s="26" t="b">
        <v>0</v>
      </c>
      <c r="P195" s="32"/>
      <c r="Q195" s="39"/>
    </row>
    <row r="196" ht="22.5" customHeight="1">
      <c r="A196" s="21" t="s">
        <v>454</v>
      </c>
      <c r="B196" s="21" t="s">
        <v>455</v>
      </c>
      <c r="C196" s="21"/>
      <c r="D196" s="24"/>
      <c r="E196" s="24">
        <v>1995.0</v>
      </c>
      <c r="F196" s="26"/>
      <c r="G196" s="28" t="s">
        <v>89</v>
      </c>
      <c r="H196" s="21" t="s">
        <v>45</v>
      </c>
      <c r="I196" s="21"/>
      <c r="J196" s="21"/>
      <c r="K196" s="21"/>
      <c r="L196" s="21"/>
      <c r="M196" s="21"/>
      <c r="N196" s="21"/>
      <c r="O196" s="26" t="b">
        <v>0</v>
      </c>
      <c r="P196" s="32"/>
      <c r="Q196" s="39"/>
    </row>
    <row r="197" ht="22.5" customHeight="1">
      <c r="A197" s="21" t="s">
        <v>456</v>
      </c>
      <c r="B197" s="21" t="s">
        <v>457</v>
      </c>
      <c r="C197" s="21"/>
      <c r="D197" s="24"/>
      <c r="E197" s="24">
        <v>1995.0</v>
      </c>
      <c r="F197" s="26"/>
      <c r="G197" s="28" t="s">
        <v>89</v>
      </c>
      <c r="H197" s="21" t="s">
        <v>45</v>
      </c>
      <c r="I197" s="21"/>
      <c r="J197" s="21"/>
      <c r="K197" s="21"/>
      <c r="L197" s="21"/>
      <c r="M197" s="21"/>
      <c r="N197" s="21"/>
      <c r="O197" s="26" t="b">
        <v>0</v>
      </c>
      <c r="P197" s="32"/>
      <c r="Q197" s="39"/>
    </row>
    <row r="198" ht="22.5" customHeight="1">
      <c r="A198" s="21" t="s">
        <v>162</v>
      </c>
      <c r="B198" s="21" t="s">
        <v>458</v>
      </c>
      <c r="C198" s="21"/>
      <c r="D198" s="24"/>
      <c r="E198" s="24">
        <v>1989.0</v>
      </c>
      <c r="F198" s="26"/>
      <c r="G198" s="28" t="s">
        <v>39</v>
      </c>
      <c r="H198" s="21" t="s">
        <v>40</v>
      </c>
      <c r="I198" s="21"/>
      <c r="J198" s="21"/>
      <c r="K198" s="21"/>
      <c r="L198" s="21"/>
      <c r="M198" s="21"/>
      <c r="N198" s="21"/>
      <c r="O198" s="26" t="b">
        <v>1</v>
      </c>
      <c r="P198" s="32"/>
      <c r="Q198" s="39"/>
    </row>
    <row r="199" ht="22.5" customHeight="1">
      <c r="A199" s="21" t="s">
        <v>459</v>
      </c>
      <c r="B199" s="21" t="s">
        <v>460</v>
      </c>
      <c r="C199" s="21"/>
      <c r="D199" s="24"/>
      <c r="E199" s="24">
        <v>1991.0</v>
      </c>
      <c r="F199" s="26"/>
      <c r="G199" s="28" t="s">
        <v>39</v>
      </c>
      <c r="H199" s="21" t="s">
        <v>96</v>
      </c>
      <c r="I199" s="21"/>
      <c r="J199" s="21"/>
      <c r="K199" s="21"/>
      <c r="L199" s="21"/>
      <c r="M199" s="21"/>
      <c r="N199" s="21"/>
      <c r="O199" s="26" t="b">
        <v>0</v>
      </c>
      <c r="P199" s="32"/>
      <c r="Q199" s="39"/>
    </row>
    <row r="200" ht="22.5" customHeight="1">
      <c r="A200" s="21" t="s">
        <v>419</v>
      </c>
      <c r="B200" s="21" t="s">
        <v>461</v>
      </c>
      <c r="C200" s="21"/>
      <c r="D200" s="24"/>
      <c r="E200" s="24">
        <v>1993.0</v>
      </c>
      <c r="F200" s="26"/>
      <c r="G200" s="28" t="s">
        <v>140</v>
      </c>
      <c r="H200" s="21" t="s">
        <v>96</v>
      </c>
      <c r="I200" s="21"/>
      <c r="J200" s="21"/>
      <c r="K200" s="21"/>
      <c r="L200" s="21"/>
      <c r="M200" s="21"/>
      <c r="N200" s="21"/>
      <c r="O200" s="26" t="b">
        <v>0</v>
      </c>
      <c r="P200" s="32"/>
      <c r="Q200" s="39"/>
    </row>
    <row r="201" ht="22.5" customHeight="1">
      <c r="A201" s="21" t="s">
        <v>462</v>
      </c>
      <c r="B201" s="21" t="s">
        <v>463</v>
      </c>
      <c r="C201" s="21"/>
      <c r="D201" s="24"/>
      <c r="E201" s="24">
        <v>1991.0</v>
      </c>
      <c r="F201" s="26"/>
      <c r="G201" s="28" t="s">
        <v>100</v>
      </c>
      <c r="H201" s="21" t="s">
        <v>45</v>
      </c>
      <c r="I201" s="21"/>
      <c r="J201" s="21"/>
      <c r="K201" s="21"/>
      <c r="L201" s="21"/>
      <c r="M201" s="21"/>
      <c r="N201" s="21"/>
      <c r="O201" s="26" t="b">
        <v>0</v>
      </c>
      <c r="P201" s="32"/>
      <c r="Q201" s="39"/>
    </row>
    <row r="202" ht="22.5" customHeight="1">
      <c r="A202" s="21" t="s">
        <v>464</v>
      </c>
      <c r="B202" s="21" t="s">
        <v>465</v>
      </c>
      <c r="C202" s="21"/>
      <c r="D202" s="24"/>
      <c r="E202" s="24">
        <v>1990.0</v>
      </c>
      <c r="F202" s="26"/>
      <c r="G202" s="28" t="s">
        <v>53</v>
      </c>
      <c r="H202" s="21" t="s">
        <v>204</v>
      </c>
      <c r="I202" s="21"/>
      <c r="J202" s="21"/>
      <c r="K202" s="21"/>
      <c r="L202" s="21"/>
      <c r="M202" s="21"/>
      <c r="N202" s="21"/>
      <c r="O202" s="26" t="b">
        <v>0</v>
      </c>
      <c r="P202" s="32"/>
      <c r="Q202" s="39"/>
    </row>
    <row r="203" ht="22.5" customHeight="1">
      <c r="A203" s="21" t="s">
        <v>466</v>
      </c>
      <c r="B203" s="21" t="s">
        <v>465</v>
      </c>
      <c r="C203" s="21"/>
      <c r="D203" s="24"/>
      <c r="E203" s="24">
        <v>1990.0</v>
      </c>
      <c r="F203" s="26"/>
      <c r="G203" s="28" t="s">
        <v>39</v>
      </c>
      <c r="H203" s="21" t="s">
        <v>204</v>
      </c>
      <c r="I203" s="21"/>
      <c r="J203" s="21"/>
      <c r="K203" s="21"/>
      <c r="L203" s="21"/>
      <c r="M203" s="21"/>
      <c r="N203" s="21"/>
      <c r="O203" s="26" t="b">
        <v>0</v>
      </c>
      <c r="P203" s="32" t="s">
        <v>56</v>
      </c>
      <c r="Q203" s="39"/>
    </row>
    <row r="204" ht="22.5" customHeight="1">
      <c r="A204" s="21" t="s">
        <v>467</v>
      </c>
      <c r="B204" s="21" t="s">
        <v>468</v>
      </c>
      <c r="C204" s="21"/>
      <c r="D204" s="24"/>
      <c r="E204" s="24">
        <v>1988.0</v>
      </c>
      <c r="F204" s="26"/>
      <c r="G204" s="28" t="s">
        <v>100</v>
      </c>
      <c r="H204" s="21" t="s">
        <v>45</v>
      </c>
      <c r="I204" s="21"/>
      <c r="J204" s="21"/>
      <c r="K204" s="21"/>
      <c r="L204" s="21"/>
      <c r="M204" s="21"/>
      <c r="N204" s="21"/>
      <c r="O204" s="26" t="b">
        <v>0</v>
      </c>
      <c r="P204" s="32" t="s">
        <v>56</v>
      </c>
      <c r="Q204" s="39"/>
    </row>
    <row r="205" ht="22.5" customHeight="1">
      <c r="A205" s="21" t="s">
        <v>469</v>
      </c>
      <c r="B205" s="21" t="s">
        <v>468</v>
      </c>
      <c r="C205" s="21"/>
      <c r="D205" s="24"/>
      <c r="E205" s="24">
        <v>1988.0</v>
      </c>
      <c r="F205" s="26"/>
      <c r="G205" s="28" t="s">
        <v>53</v>
      </c>
      <c r="H205" s="21"/>
      <c r="I205" s="21"/>
      <c r="J205" s="21"/>
      <c r="K205" s="21"/>
      <c r="L205" s="21"/>
      <c r="M205" s="21"/>
      <c r="N205" s="21"/>
      <c r="O205" s="26"/>
      <c r="P205" s="32"/>
      <c r="Q205" s="39"/>
    </row>
    <row r="206" ht="22.5" customHeight="1">
      <c r="A206" s="21" t="s">
        <v>470</v>
      </c>
      <c r="B206" s="21" t="s">
        <v>468</v>
      </c>
      <c r="C206" s="21"/>
      <c r="D206" s="24"/>
      <c r="E206" s="24">
        <v>1988.0</v>
      </c>
      <c r="F206" s="26"/>
      <c r="G206" s="28" t="s">
        <v>39</v>
      </c>
      <c r="H206" s="21" t="s">
        <v>45</v>
      </c>
      <c r="I206" s="21"/>
      <c r="J206" s="21"/>
      <c r="K206" s="21"/>
      <c r="L206" s="21"/>
      <c r="M206" s="21"/>
      <c r="N206" s="21"/>
      <c r="O206" s="26" t="b">
        <v>0</v>
      </c>
      <c r="P206" s="32"/>
      <c r="Q206" s="39"/>
    </row>
    <row r="207" ht="22.5" customHeight="1">
      <c r="A207" s="21" t="s">
        <v>472</v>
      </c>
      <c r="B207" s="21" t="s">
        <v>473</v>
      </c>
      <c r="C207" s="21"/>
      <c r="D207" s="24"/>
      <c r="E207" s="24">
        <v>1987.0</v>
      </c>
      <c r="F207" s="26"/>
      <c r="G207" s="28" t="s">
        <v>39</v>
      </c>
      <c r="H207" s="21" t="s">
        <v>40</v>
      </c>
      <c r="I207" s="21"/>
      <c r="J207" s="21"/>
      <c r="K207" s="21"/>
      <c r="L207" s="21"/>
      <c r="M207" s="21"/>
      <c r="N207" s="21"/>
      <c r="O207" s="26" t="b">
        <v>0</v>
      </c>
      <c r="P207" s="32"/>
      <c r="Q207" s="39"/>
    </row>
    <row r="208" ht="22.5" customHeight="1">
      <c r="A208" s="21" t="s">
        <v>299</v>
      </c>
      <c r="B208" s="21" t="s">
        <v>474</v>
      </c>
      <c r="C208" s="21"/>
      <c r="D208" s="24"/>
      <c r="E208" s="24">
        <v>1998.0</v>
      </c>
      <c r="F208" s="26"/>
      <c r="G208" s="28" t="s">
        <v>89</v>
      </c>
      <c r="H208" s="21" t="s">
        <v>45</v>
      </c>
      <c r="I208" s="21"/>
      <c r="J208" s="21"/>
      <c r="K208" s="21"/>
      <c r="L208" s="21"/>
      <c r="M208" s="21"/>
      <c r="N208" s="21"/>
      <c r="O208" s="26" t="b">
        <v>0</v>
      </c>
      <c r="P208" s="32"/>
      <c r="Q208" s="39"/>
    </row>
    <row r="209" ht="22.5" customHeight="1">
      <c r="A209" s="21" t="s">
        <v>475</v>
      </c>
      <c r="B209" s="21" t="s">
        <v>476</v>
      </c>
      <c r="C209" s="21"/>
      <c r="D209" s="24"/>
      <c r="E209" s="24">
        <v>1990.0</v>
      </c>
      <c r="F209" s="26"/>
      <c r="G209" s="28" t="s">
        <v>140</v>
      </c>
      <c r="H209" s="21" t="s">
        <v>96</v>
      </c>
      <c r="I209" s="21"/>
      <c r="J209" s="21"/>
      <c r="K209" s="21"/>
      <c r="L209" s="21"/>
      <c r="M209" s="21"/>
      <c r="N209" s="21"/>
      <c r="O209" s="26" t="b">
        <v>0</v>
      </c>
      <c r="P209" s="32"/>
      <c r="Q209" s="39"/>
    </row>
    <row r="210" ht="22.5" customHeight="1">
      <c r="A210" s="21" t="s">
        <v>310</v>
      </c>
      <c r="B210" s="21" t="s">
        <v>477</v>
      </c>
      <c r="C210" s="21"/>
      <c r="D210" s="24"/>
      <c r="E210" s="24">
        <v>1997.0</v>
      </c>
      <c r="F210" s="26"/>
      <c r="G210" s="28" t="s">
        <v>89</v>
      </c>
      <c r="H210" s="21" t="s">
        <v>45</v>
      </c>
      <c r="I210" s="21"/>
      <c r="J210" s="21"/>
      <c r="K210" s="21"/>
      <c r="L210" s="21"/>
      <c r="M210" s="21"/>
      <c r="N210" s="21"/>
      <c r="O210" s="26" t="b">
        <v>0</v>
      </c>
      <c r="P210" s="32"/>
      <c r="Q210" s="39"/>
    </row>
    <row r="211" ht="22.5" customHeight="1">
      <c r="A211" s="21" t="s">
        <v>478</v>
      </c>
      <c r="B211" s="21" t="s">
        <v>479</v>
      </c>
      <c r="C211" s="21"/>
      <c r="D211" s="24"/>
      <c r="E211" s="24">
        <v>1991.0</v>
      </c>
      <c r="F211" s="26"/>
      <c r="G211" s="28" t="s">
        <v>39</v>
      </c>
      <c r="H211" s="21" t="s">
        <v>45</v>
      </c>
      <c r="I211" s="21"/>
      <c r="J211" s="21"/>
      <c r="K211" s="21"/>
      <c r="L211" s="21"/>
      <c r="M211" s="21"/>
      <c r="N211" s="21"/>
      <c r="O211" s="26" t="b">
        <v>0</v>
      </c>
      <c r="P211" s="32"/>
      <c r="Q211" s="39"/>
    </row>
    <row r="212" ht="22.5" customHeight="1">
      <c r="A212" s="21" t="s">
        <v>480</v>
      </c>
      <c r="B212" s="21" t="s">
        <v>481</v>
      </c>
      <c r="C212" s="21"/>
      <c r="D212" s="24"/>
      <c r="E212" s="24">
        <v>1992.0</v>
      </c>
      <c r="F212" s="26"/>
      <c r="G212" s="28" t="s">
        <v>39</v>
      </c>
      <c r="H212" s="21" t="s">
        <v>45</v>
      </c>
      <c r="I212" s="21"/>
      <c r="J212" s="21"/>
      <c r="K212" s="21"/>
      <c r="L212" s="21"/>
      <c r="M212" s="21"/>
      <c r="N212" s="21"/>
      <c r="O212" s="26" t="b">
        <v>0</v>
      </c>
      <c r="P212" s="32"/>
      <c r="Q212" s="39"/>
    </row>
    <row r="213" ht="22.5" customHeight="1">
      <c r="A213" s="21" t="s">
        <v>482</v>
      </c>
      <c r="B213" s="21" t="s">
        <v>483</v>
      </c>
      <c r="C213" s="21"/>
      <c r="D213" s="24"/>
      <c r="E213" s="24">
        <v>1993.0</v>
      </c>
      <c r="F213" s="26"/>
      <c r="G213" s="28" t="s">
        <v>100</v>
      </c>
      <c r="H213" s="21" t="s">
        <v>45</v>
      </c>
      <c r="I213" s="21"/>
      <c r="J213" s="21"/>
      <c r="K213" s="21"/>
      <c r="L213" s="21"/>
      <c r="M213" s="21"/>
      <c r="N213" s="21"/>
      <c r="O213" s="26" t="b">
        <v>0</v>
      </c>
      <c r="P213" s="32"/>
      <c r="Q213" s="39"/>
    </row>
    <row r="214" ht="22.5" customHeight="1">
      <c r="A214" s="21" t="s">
        <v>484</v>
      </c>
      <c r="B214" s="21" t="s">
        <v>485</v>
      </c>
      <c r="C214" s="21"/>
      <c r="D214" s="24"/>
      <c r="E214" s="24">
        <v>1995.0</v>
      </c>
      <c r="F214" s="26"/>
      <c r="G214" s="28" t="s">
        <v>100</v>
      </c>
      <c r="H214" s="21" t="s">
        <v>45</v>
      </c>
      <c r="I214" s="21"/>
      <c r="J214" s="21"/>
      <c r="K214" s="21"/>
      <c r="L214" s="21"/>
      <c r="M214" s="21"/>
      <c r="N214" s="21"/>
      <c r="O214" s="26" t="b">
        <v>0</v>
      </c>
      <c r="P214" s="32"/>
      <c r="Q214" s="39"/>
    </row>
    <row r="215" ht="22.5" customHeight="1">
      <c r="A215" s="21" t="s">
        <v>486</v>
      </c>
      <c r="B215" s="21" t="s">
        <v>487</v>
      </c>
      <c r="C215" s="21"/>
      <c r="D215" s="24"/>
      <c r="E215" s="24">
        <v>1988.0</v>
      </c>
      <c r="F215" s="26"/>
      <c r="G215" s="28" t="s">
        <v>53</v>
      </c>
      <c r="H215" s="21" t="s">
        <v>45</v>
      </c>
      <c r="I215" s="21"/>
      <c r="J215" s="21" t="s">
        <v>149</v>
      </c>
      <c r="K215" s="21"/>
      <c r="L215" s="21"/>
      <c r="M215" s="21"/>
      <c r="N215" s="21"/>
      <c r="O215" s="26" t="b">
        <v>1</v>
      </c>
      <c r="P215" s="32"/>
      <c r="Q215" s="39"/>
    </row>
    <row r="216" ht="22.5" customHeight="1">
      <c r="A216" s="21" t="s">
        <v>353</v>
      </c>
      <c r="B216" s="21" t="s">
        <v>488</v>
      </c>
      <c r="C216" s="21"/>
      <c r="D216" s="24"/>
      <c r="E216" s="24">
        <v>1988.0</v>
      </c>
      <c r="F216" s="26"/>
      <c r="G216" s="28" t="s">
        <v>39</v>
      </c>
      <c r="H216" s="21" t="s">
        <v>62</v>
      </c>
      <c r="I216" s="21"/>
      <c r="J216" s="21"/>
      <c r="K216" s="21"/>
      <c r="L216" s="21"/>
      <c r="M216" s="21"/>
      <c r="N216" s="21"/>
      <c r="O216" s="26" t="b">
        <v>1</v>
      </c>
      <c r="P216" s="32"/>
      <c r="Q216" s="39"/>
    </row>
    <row r="217" ht="22.5" customHeight="1">
      <c r="A217" s="21" t="s">
        <v>489</v>
      </c>
      <c r="B217" s="21" t="s">
        <v>490</v>
      </c>
      <c r="C217" s="21"/>
      <c r="D217" s="24"/>
      <c r="E217" s="24">
        <v>1991.0</v>
      </c>
      <c r="F217" s="26"/>
      <c r="G217" s="28" t="s">
        <v>39</v>
      </c>
      <c r="H217" s="21" t="s">
        <v>45</v>
      </c>
      <c r="I217" s="21"/>
      <c r="J217" s="21"/>
      <c r="K217" s="21"/>
      <c r="L217" s="21"/>
      <c r="M217" s="21"/>
      <c r="N217" s="21"/>
      <c r="O217" s="26" t="b">
        <v>0</v>
      </c>
      <c r="P217" s="32"/>
      <c r="Q217" s="39"/>
    </row>
    <row r="218" ht="22.5" customHeight="1">
      <c r="A218" s="21" t="s">
        <v>491</v>
      </c>
      <c r="B218" s="21" t="s">
        <v>492</v>
      </c>
      <c r="C218" s="21"/>
      <c r="D218" s="24"/>
      <c r="E218" s="24">
        <v>1993.0</v>
      </c>
      <c r="F218" s="26"/>
      <c r="G218" s="28" t="s">
        <v>100</v>
      </c>
      <c r="H218" s="21" t="s">
        <v>45</v>
      </c>
      <c r="I218" s="21"/>
      <c r="J218" s="21"/>
      <c r="K218" s="21"/>
      <c r="L218" s="21"/>
      <c r="M218" s="21"/>
      <c r="N218" s="21"/>
      <c r="O218" s="26" t="b">
        <v>0</v>
      </c>
      <c r="P218" s="32"/>
      <c r="Q218" s="39"/>
    </row>
    <row r="219" ht="22.5" customHeight="1">
      <c r="A219" s="21" t="s">
        <v>493</v>
      </c>
      <c r="B219" s="21" t="s">
        <v>494</v>
      </c>
      <c r="C219" s="21"/>
      <c r="D219" s="24"/>
      <c r="E219" s="24">
        <v>1986.0</v>
      </c>
      <c r="F219" s="26"/>
      <c r="G219" s="28" t="s">
        <v>39</v>
      </c>
      <c r="H219" s="21" t="s">
        <v>45</v>
      </c>
      <c r="I219" s="21"/>
      <c r="J219" s="21"/>
      <c r="K219" s="21"/>
      <c r="L219" s="21"/>
      <c r="M219" s="21"/>
      <c r="N219" s="21"/>
      <c r="O219" s="26" t="b">
        <v>0</v>
      </c>
      <c r="P219" s="32"/>
      <c r="Q219" s="39"/>
    </row>
    <row r="220" ht="22.5" customHeight="1">
      <c r="A220" s="21" t="s">
        <v>495</v>
      </c>
      <c r="B220" s="21" t="s">
        <v>496</v>
      </c>
      <c r="C220" s="21"/>
      <c r="D220" s="24"/>
      <c r="E220" s="24">
        <v>1993.0</v>
      </c>
      <c r="F220" s="26"/>
      <c r="G220" s="28" t="s">
        <v>100</v>
      </c>
      <c r="H220" s="21" t="s">
        <v>45</v>
      </c>
      <c r="I220" s="21"/>
      <c r="J220" s="21"/>
      <c r="K220" s="21"/>
      <c r="L220" s="21"/>
      <c r="M220" s="21"/>
      <c r="N220" s="21"/>
      <c r="O220" s="26" t="b">
        <v>0</v>
      </c>
      <c r="P220" s="32"/>
      <c r="Q220" s="39"/>
    </row>
    <row r="221" ht="22.5" customHeight="1">
      <c r="A221" s="21" t="s">
        <v>207</v>
      </c>
      <c r="B221" s="21" t="s">
        <v>497</v>
      </c>
      <c r="C221" s="21"/>
      <c r="D221" s="24"/>
      <c r="E221" s="24">
        <v>1997.0</v>
      </c>
      <c r="F221" s="26"/>
      <c r="G221" s="28" t="s">
        <v>89</v>
      </c>
      <c r="H221" s="21" t="s">
        <v>261</v>
      </c>
      <c r="I221" s="21"/>
      <c r="J221" s="21"/>
      <c r="K221" s="21"/>
      <c r="L221" s="21"/>
      <c r="M221" s="21"/>
      <c r="N221" s="21"/>
      <c r="O221" s="26" t="b">
        <v>0</v>
      </c>
      <c r="P221" s="32"/>
      <c r="Q221" s="39"/>
    </row>
    <row r="222" ht="22.5" customHeight="1">
      <c r="A222" s="21" t="s">
        <v>423</v>
      </c>
      <c r="B222" s="21" t="s">
        <v>498</v>
      </c>
      <c r="C222" s="21"/>
      <c r="D222" s="24"/>
      <c r="E222" s="24">
        <v>1993.0</v>
      </c>
      <c r="F222" s="26"/>
      <c r="G222" s="28" t="s">
        <v>140</v>
      </c>
      <c r="H222" s="21" t="s">
        <v>45</v>
      </c>
      <c r="I222" s="21" t="s">
        <v>499</v>
      </c>
      <c r="J222" s="21"/>
      <c r="K222" s="21"/>
      <c r="L222" s="21"/>
      <c r="M222" s="21"/>
      <c r="N222" s="21"/>
      <c r="O222" s="26" t="b">
        <v>0</v>
      </c>
      <c r="P222" s="32"/>
      <c r="Q222" s="39"/>
    </row>
    <row r="223" ht="22.5" customHeight="1">
      <c r="A223" s="21" t="s">
        <v>500</v>
      </c>
      <c r="B223" s="21" t="s">
        <v>501</v>
      </c>
      <c r="C223" s="21"/>
      <c r="D223" s="24"/>
      <c r="E223" s="24">
        <v>1994.0</v>
      </c>
      <c r="F223" s="26"/>
      <c r="G223" s="28" t="s">
        <v>100</v>
      </c>
      <c r="H223" s="21" t="s">
        <v>45</v>
      </c>
      <c r="I223" s="21" t="s">
        <v>499</v>
      </c>
      <c r="J223" s="21"/>
      <c r="K223" s="21"/>
      <c r="L223" s="21"/>
      <c r="M223" s="21"/>
      <c r="N223" s="21"/>
      <c r="O223" s="26" t="b">
        <v>0</v>
      </c>
      <c r="P223" s="32"/>
      <c r="Q223" s="39"/>
    </row>
    <row r="224" ht="22.5" customHeight="1">
      <c r="A224" s="21" t="s">
        <v>502</v>
      </c>
      <c r="B224" s="21" t="s">
        <v>503</v>
      </c>
      <c r="C224" s="21"/>
      <c r="D224" s="24"/>
      <c r="E224" s="24">
        <v>1991.0</v>
      </c>
      <c r="F224" s="26"/>
      <c r="G224" s="28" t="s">
        <v>39</v>
      </c>
      <c r="H224" s="21" t="s">
        <v>45</v>
      </c>
      <c r="I224" s="21" t="s">
        <v>499</v>
      </c>
      <c r="J224" s="21"/>
      <c r="K224" s="21"/>
      <c r="L224" s="21"/>
      <c r="M224" s="21"/>
      <c r="N224" s="21"/>
      <c r="O224" s="26" t="b">
        <v>0</v>
      </c>
      <c r="P224" s="32"/>
      <c r="Q224" s="39"/>
    </row>
    <row r="225" ht="22.5" customHeight="1">
      <c r="A225" s="21" t="s">
        <v>504</v>
      </c>
      <c r="B225" s="21" t="s">
        <v>505</v>
      </c>
      <c r="C225" s="21"/>
      <c r="D225" s="24"/>
      <c r="E225" s="24">
        <v>1993.0</v>
      </c>
      <c r="F225" s="26"/>
      <c r="G225" s="28" t="s">
        <v>100</v>
      </c>
      <c r="H225" s="21" t="s">
        <v>45</v>
      </c>
      <c r="I225" s="21" t="s">
        <v>499</v>
      </c>
      <c r="J225" s="21"/>
      <c r="K225" s="21"/>
      <c r="L225" s="21"/>
      <c r="M225" s="21"/>
      <c r="N225" s="21"/>
      <c r="O225" s="26" t="b">
        <v>0</v>
      </c>
      <c r="P225" s="32"/>
      <c r="Q225" s="39"/>
    </row>
    <row r="226" ht="22.5" customHeight="1">
      <c r="A226" s="21" t="s">
        <v>435</v>
      </c>
      <c r="B226" s="21" t="s">
        <v>506</v>
      </c>
      <c r="C226" s="21"/>
      <c r="D226" s="24"/>
      <c r="E226" s="24">
        <v>1990.0</v>
      </c>
      <c r="F226" s="26"/>
      <c r="G226" s="28" t="s">
        <v>39</v>
      </c>
      <c r="H226" s="21" t="s">
        <v>45</v>
      </c>
      <c r="I226" s="21"/>
      <c r="J226" s="21"/>
      <c r="K226" s="21"/>
      <c r="L226" s="21"/>
      <c r="M226" s="21"/>
      <c r="N226" s="21"/>
      <c r="O226" s="26" t="b">
        <v>0</v>
      </c>
      <c r="P226" s="32"/>
      <c r="Q226" s="39"/>
    </row>
    <row r="227" ht="22.5" customHeight="1">
      <c r="A227" s="21" t="s">
        <v>507</v>
      </c>
      <c r="B227" s="21" t="s">
        <v>508</v>
      </c>
      <c r="C227" s="21"/>
      <c r="D227" s="24"/>
      <c r="E227" s="24">
        <v>1987.0</v>
      </c>
      <c r="F227" s="26"/>
      <c r="G227" s="28" t="s">
        <v>53</v>
      </c>
      <c r="H227" s="21" t="s">
        <v>96</v>
      </c>
      <c r="I227" s="21"/>
      <c r="J227" s="21"/>
      <c r="K227" s="21"/>
      <c r="L227" s="21"/>
      <c r="M227" s="21"/>
      <c r="N227" s="21"/>
      <c r="O227" s="26" t="b">
        <v>0</v>
      </c>
      <c r="P227" s="32"/>
      <c r="Q227" s="39"/>
    </row>
    <row r="228" ht="22.5" customHeight="1">
      <c r="A228" s="21" t="s">
        <v>509</v>
      </c>
      <c r="B228" s="21" t="s">
        <v>510</v>
      </c>
      <c r="C228" s="21"/>
      <c r="D228" s="24"/>
      <c r="E228" s="24">
        <v>1987.0</v>
      </c>
      <c r="F228" s="26"/>
      <c r="G228" s="28" t="s">
        <v>53</v>
      </c>
      <c r="H228" s="21" t="s">
        <v>96</v>
      </c>
      <c r="I228" s="21"/>
      <c r="J228" s="21"/>
      <c r="K228" s="21"/>
      <c r="L228" s="21"/>
      <c r="M228" s="21"/>
      <c r="N228" s="21"/>
      <c r="O228" s="26" t="b">
        <v>0</v>
      </c>
      <c r="P228" s="32"/>
      <c r="Q228" s="39"/>
    </row>
    <row r="229" ht="22.5" customHeight="1">
      <c r="A229" s="21" t="s">
        <v>511</v>
      </c>
      <c r="B229" s="21" t="s">
        <v>512</v>
      </c>
      <c r="C229" s="21"/>
      <c r="D229" s="24"/>
      <c r="E229" s="24">
        <v>1990.0</v>
      </c>
      <c r="F229" s="26"/>
      <c r="G229" s="28" t="s">
        <v>53</v>
      </c>
      <c r="H229" s="21" t="s">
        <v>96</v>
      </c>
      <c r="I229" s="21"/>
      <c r="J229" s="21"/>
      <c r="K229" s="21"/>
      <c r="L229" s="21"/>
      <c r="M229" s="21"/>
      <c r="N229" s="21"/>
      <c r="O229" s="26" t="b">
        <v>0</v>
      </c>
      <c r="P229" s="32"/>
      <c r="Q229" s="39"/>
    </row>
    <row r="230" ht="22.5" customHeight="1">
      <c r="A230" s="21" t="s">
        <v>513</v>
      </c>
      <c r="B230" s="21" t="s">
        <v>512</v>
      </c>
      <c r="C230" s="21"/>
      <c r="D230" s="24"/>
      <c r="E230" s="24">
        <v>1990.0</v>
      </c>
      <c r="F230" s="26"/>
      <c r="G230" s="28" t="s">
        <v>39</v>
      </c>
      <c r="H230" s="21" t="s">
        <v>96</v>
      </c>
      <c r="I230" s="21"/>
      <c r="J230" s="21"/>
      <c r="K230" s="21"/>
      <c r="L230" s="21"/>
      <c r="M230" s="21"/>
      <c r="N230" s="21"/>
      <c r="O230" s="26" t="b">
        <v>0</v>
      </c>
      <c r="P230" s="32" t="s">
        <v>56</v>
      </c>
      <c r="Q230" s="39"/>
    </row>
    <row r="231" ht="22.5" customHeight="1">
      <c r="A231" s="21" t="s">
        <v>514</v>
      </c>
      <c r="B231" s="21" t="s">
        <v>515</v>
      </c>
      <c r="C231" s="21"/>
      <c r="D231" s="24"/>
      <c r="E231" s="24">
        <v>1991.0</v>
      </c>
      <c r="F231" s="26"/>
      <c r="G231" s="28" t="s">
        <v>39</v>
      </c>
      <c r="H231" s="21" t="s">
        <v>96</v>
      </c>
      <c r="I231" s="21"/>
      <c r="J231" s="21"/>
      <c r="K231" s="21"/>
      <c r="L231" s="21"/>
      <c r="M231" s="21"/>
      <c r="N231" s="21"/>
      <c r="O231" s="26" t="b">
        <v>0</v>
      </c>
      <c r="P231" s="32"/>
      <c r="Q231" s="39"/>
    </row>
    <row r="232" ht="22.5" customHeight="1">
      <c r="A232" s="21" t="s">
        <v>516</v>
      </c>
      <c r="B232" s="21" t="s">
        <v>517</v>
      </c>
      <c r="C232" s="21"/>
      <c r="D232" s="24"/>
      <c r="E232" s="24">
        <v>1990.0</v>
      </c>
      <c r="F232" s="26"/>
      <c r="G232" s="28" t="s">
        <v>89</v>
      </c>
      <c r="H232" s="21" t="s">
        <v>124</v>
      </c>
      <c r="I232" s="21"/>
      <c r="J232" s="21"/>
      <c r="K232" s="21"/>
      <c r="L232" s="21"/>
      <c r="M232" s="21"/>
      <c r="N232" s="21"/>
      <c r="O232" s="26" t="b">
        <v>0</v>
      </c>
      <c r="P232" s="32"/>
      <c r="Q232" s="39"/>
    </row>
    <row r="233" ht="22.5" customHeight="1">
      <c r="A233" s="21" t="s">
        <v>518</v>
      </c>
      <c r="B233" s="21" t="s">
        <v>517</v>
      </c>
      <c r="C233" s="21"/>
      <c r="D233" s="24"/>
      <c r="E233" s="24">
        <v>1990.0</v>
      </c>
      <c r="F233" s="26"/>
      <c r="G233" s="28" t="s">
        <v>53</v>
      </c>
      <c r="H233" s="21" t="s">
        <v>124</v>
      </c>
      <c r="I233" s="21"/>
      <c r="J233" s="21"/>
      <c r="K233" s="21"/>
      <c r="L233" s="21"/>
      <c r="M233" s="21"/>
      <c r="N233" s="21"/>
      <c r="O233" s="26" t="b">
        <v>0</v>
      </c>
      <c r="P233" s="32"/>
      <c r="Q233" s="39"/>
    </row>
    <row r="234" ht="22.5" customHeight="1">
      <c r="A234" s="21" t="s">
        <v>519</v>
      </c>
      <c r="B234" s="21" t="s">
        <v>520</v>
      </c>
      <c r="C234" s="21"/>
      <c r="D234" s="24"/>
      <c r="E234" s="24">
        <v>1989.0</v>
      </c>
      <c r="F234" s="26"/>
      <c r="G234" s="28" t="s">
        <v>53</v>
      </c>
      <c r="H234" s="21" t="s">
        <v>96</v>
      </c>
      <c r="I234" s="21"/>
      <c r="J234" s="21"/>
      <c r="K234" s="21"/>
      <c r="L234" s="21"/>
      <c r="M234" s="21"/>
      <c r="N234" s="21"/>
      <c r="O234" s="26" t="b">
        <v>1</v>
      </c>
      <c r="P234" s="32"/>
      <c r="Q234" s="39"/>
    </row>
    <row r="235" ht="22.5" customHeight="1">
      <c r="A235" s="21" t="s">
        <v>521</v>
      </c>
      <c r="B235" s="21" t="s">
        <v>522</v>
      </c>
      <c r="C235" s="21"/>
      <c r="D235" s="24"/>
      <c r="E235" s="24">
        <v>1993.0</v>
      </c>
      <c r="F235" s="26"/>
      <c r="G235" s="28" t="s">
        <v>100</v>
      </c>
      <c r="H235" s="21" t="s">
        <v>45</v>
      </c>
      <c r="I235" s="21"/>
      <c r="J235" s="21"/>
      <c r="K235" s="21"/>
      <c r="L235" s="21"/>
      <c r="M235" s="21"/>
      <c r="N235" s="21"/>
      <c r="O235" s="26" t="b">
        <v>0</v>
      </c>
      <c r="P235" s="32"/>
      <c r="Q235" s="39"/>
    </row>
    <row r="236" ht="22.5" customHeight="1">
      <c r="A236" s="21" t="s">
        <v>523</v>
      </c>
      <c r="B236" s="21" t="s">
        <v>524</v>
      </c>
      <c r="C236" s="21"/>
      <c r="D236" s="24"/>
      <c r="E236" s="24">
        <v>1997.0</v>
      </c>
      <c r="F236" s="26"/>
      <c r="G236" s="28" t="s">
        <v>89</v>
      </c>
      <c r="H236" s="21" t="s">
        <v>45</v>
      </c>
      <c r="I236" s="21"/>
      <c r="J236" s="21"/>
      <c r="K236" s="21"/>
      <c r="L236" s="21"/>
      <c r="M236" s="21"/>
      <c r="N236" s="21"/>
      <c r="O236" s="26" t="b">
        <v>0</v>
      </c>
      <c r="P236" s="32"/>
      <c r="Q236" s="39"/>
    </row>
    <row r="237" ht="22.5" customHeight="1">
      <c r="A237" s="21" t="s">
        <v>525</v>
      </c>
      <c r="B237" s="21" t="s">
        <v>526</v>
      </c>
      <c r="C237" s="21"/>
      <c r="D237" s="24"/>
      <c r="E237" s="24">
        <v>1993.0</v>
      </c>
      <c r="F237" s="26"/>
      <c r="G237" s="28" t="s">
        <v>140</v>
      </c>
      <c r="H237" s="21" t="s">
        <v>45</v>
      </c>
      <c r="I237" s="21" t="s">
        <v>66</v>
      </c>
      <c r="J237" s="21"/>
      <c r="K237" s="21"/>
      <c r="L237" s="21"/>
      <c r="M237" s="21"/>
      <c r="N237" s="21"/>
      <c r="O237" s="26" t="b">
        <v>0</v>
      </c>
      <c r="P237" s="32" t="s">
        <v>56</v>
      </c>
      <c r="Q237" s="39"/>
    </row>
    <row r="238" ht="22.5" customHeight="1">
      <c r="A238" s="21" t="s">
        <v>527</v>
      </c>
      <c r="B238" s="21" t="s">
        <v>528</v>
      </c>
      <c r="C238" s="21"/>
      <c r="D238" s="24"/>
      <c r="E238" s="24">
        <v>1985.0</v>
      </c>
      <c r="F238" s="26"/>
      <c r="G238" s="28" t="s">
        <v>39</v>
      </c>
      <c r="H238" s="21" t="s">
        <v>45</v>
      </c>
      <c r="I238" s="21" t="s">
        <v>66</v>
      </c>
      <c r="J238" s="21"/>
      <c r="K238" s="21"/>
      <c r="L238" s="21"/>
      <c r="M238" s="21"/>
      <c r="N238" s="21"/>
      <c r="O238" s="26" t="b">
        <v>0</v>
      </c>
      <c r="P238" s="32"/>
      <c r="Q238" s="39"/>
    </row>
    <row r="239" ht="22.5" customHeight="1">
      <c r="A239" s="21" t="s">
        <v>529</v>
      </c>
      <c r="B239" s="21" t="s">
        <v>530</v>
      </c>
      <c r="C239" s="21"/>
      <c r="D239" s="24"/>
      <c r="E239" s="24">
        <v>1993.0</v>
      </c>
      <c r="F239" s="26"/>
      <c r="G239" s="28" t="s">
        <v>100</v>
      </c>
      <c r="H239" s="21" t="s">
        <v>45</v>
      </c>
      <c r="I239" s="21"/>
      <c r="J239" s="21"/>
      <c r="K239" s="21"/>
      <c r="L239" s="21"/>
      <c r="M239" s="21"/>
      <c r="N239" s="21"/>
      <c r="O239" s="26" t="b">
        <v>0</v>
      </c>
      <c r="P239" s="32"/>
      <c r="Q239" s="39"/>
    </row>
    <row r="240" ht="22.5" customHeight="1">
      <c r="A240" s="21" t="s">
        <v>531</v>
      </c>
      <c r="B240" s="21" t="s">
        <v>532</v>
      </c>
      <c r="C240" s="21"/>
      <c r="D240" s="24"/>
      <c r="E240" s="24">
        <v>1991.0</v>
      </c>
      <c r="F240" s="26"/>
      <c r="G240" s="28" t="s">
        <v>53</v>
      </c>
      <c r="H240" s="21" t="s">
        <v>45</v>
      </c>
      <c r="I240" s="21"/>
      <c r="J240" s="21"/>
      <c r="K240" s="21"/>
      <c r="L240" s="21"/>
      <c r="M240" s="21"/>
      <c r="N240" s="21"/>
      <c r="O240" s="26" t="b">
        <v>0</v>
      </c>
      <c r="P240" s="32"/>
      <c r="Q240" s="39"/>
    </row>
    <row r="241" ht="22.5" customHeight="1">
      <c r="A241" s="21" t="s">
        <v>533</v>
      </c>
      <c r="B241" s="21" t="s">
        <v>534</v>
      </c>
      <c r="C241" s="21"/>
      <c r="D241" s="24"/>
      <c r="E241" s="24">
        <v>1994.0</v>
      </c>
      <c r="F241" s="26"/>
      <c r="G241" s="28" t="s">
        <v>100</v>
      </c>
      <c r="H241" s="21" t="s">
        <v>45</v>
      </c>
      <c r="I241" s="21"/>
      <c r="J241" s="21"/>
      <c r="K241" s="21"/>
      <c r="L241" s="21"/>
      <c r="M241" s="21"/>
      <c r="N241" s="21"/>
      <c r="O241" s="26" t="b">
        <v>0</v>
      </c>
      <c r="P241" s="32"/>
      <c r="Q241" s="39"/>
    </row>
    <row r="242" ht="22.5" customHeight="1">
      <c r="A242" s="21" t="s">
        <v>535</v>
      </c>
      <c r="B242" s="21" t="s">
        <v>536</v>
      </c>
      <c r="C242" s="21"/>
      <c r="D242" s="24"/>
      <c r="E242" s="24">
        <v>1994.0</v>
      </c>
      <c r="F242" s="26"/>
      <c r="G242" s="28" t="s">
        <v>100</v>
      </c>
      <c r="H242" s="21" t="s">
        <v>45</v>
      </c>
      <c r="I242" s="21" t="s">
        <v>66</v>
      </c>
      <c r="J242" s="21"/>
      <c r="K242" s="21"/>
      <c r="L242" s="21"/>
      <c r="M242" s="21"/>
      <c r="N242" s="21"/>
      <c r="O242" s="26" t="b">
        <v>0</v>
      </c>
      <c r="P242" s="32"/>
      <c r="Q242" s="39"/>
    </row>
    <row r="243" ht="22.5" customHeight="1">
      <c r="A243" s="21" t="s">
        <v>537</v>
      </c>
      <c r="B243" s="21" t="s">
        <v>538</v>
      </c>
      <c r="C243" s="21"/>
      <c r="D243" s="24"/>
      <c r="E243" s="24">
        <v>1994.0</v>
      </c>
      <c r="F243" s="26"/>
      <c r="G243" s="28" t="s">
        <v>100</v>
      </c>
      <c r="H243" s="21" t="s">
        <v>45</v>
      </c>
      <c r="I243" s="21" t="s">
        <v>66</v>
      </c>
      <c r="J243" s="21"/>
      <c r="K243" s="21"/>
      <c r="L243" s="21"/>
      <c r="M243" s="21"/>
      <c r="N243" s="21"/>
      <c r="O243" s="26" t="b">
        <v>0</v>
      </c>
      <c r="P243" s="32"/>
      <c r="Q243" s="39"/>
    </row>
    <row r="244" ht="22.5" customHeight="1">
      <c r="A244" s="21" t="s">
        <v>539</v>
      </c>
      <c r="B244" s="21" t="s">
        <v>540</v>
      </c>
      <c r="C244" s="21"/>
      <c r="D244" s="24"/>
      <c r="E244" s="24">
        <v>1991.0</v>
      </c>
      <c r="F244" s="26"/>
      <c r="G244" s="28" t="s">
        <v>39</v>
      </c>
      <c r="H244" s="21" t="s">
        <v>45</v>
      </c>
      <c r="I244" s="21"/>
      <c r="J244" s="21"/>
      <c r="K244" s="21"/>
      <c r="L244" s="21"/>
      <c r="M244" s="21"/>
      <c r="N244" s="21"/>
      <c r="O244" s="26" t="b">
        <v>0</v>
      </c>
      <c r="P244" s="32"/>
      <c r="Q244" s="39"/>
    </row>
    <row r="245" ht="22.5" customHeight="1">
      <c r="A245" s="21" t="s">
        <v>541</v>
      </c>
      <c r="B245" s="21" t="s">
        <v>542</v>
      </c>
      <c r="C245" s="21"/>
      <c r="D245" s="24"/>
      <c r="E245" s="24">
        <v>1986.0</v>
      </c>
      <c r="F245" s="26"/>
      <c r="G245" s="28" t="s">
        <v>140</v>
      </c>
      <c r="H245" s="21" t="s">
        <v>45</v>
      </c>
      <c r="I245" s="21" t="s">
        <v>66</v>
      </c>
      <c r="J245" s="21"/>
      <c r="K245" s="21"/>
      <c r="L245" s="21"/>
      <c r="M245" s="21"/>
      <c r="N245" s="21"/>
      <c r="O245" s="26" t="b">
        <v>0</v>
      </c>
      <c r="P245" s="32"/>
      <c r="Q245" s="39"/>
    </row>
    <row r="246" ht="22.5" customHeight="1">
      <c r="A246" s="21" t="s">
        <v>543</v>
      </c>
      <c r="B246" s="21" t="s">
        <v>544</v>
      </c>
      <c r="C246" s="21"/>
      <c r="D246" s="24"/>
      <c r="E246" s="24">
        <v>1993.0</v>
      </c>
      <c r="F246" s="26"/>
      <c r="G246" s="28" t="s">
        <v>100</v>
      </c>
      <c r="H246" s="21" t="s">
        <v>45</v>
      </c>
      <c r="I246" s="21" t="s">
        <v>66</v>
      </c>
      <c r="J246" s="21"/>
      <c r="K246" s="21"/>
      <c r="L246" s="21"/>
      <c r="M246" s="21"/>
      <c r="N246" s="21"/>
      <c r="O246" s="26" t="b">
        <v>0</v>
      </c>
      <c r="P246" s="45"/>
      <c r="Q246" s="39"/>
    </row>
    <row r="247" ht="22.5" customHeight="1">
      <c r="A247" s="21" t="s">
        <v>546</v>
      </c>
      <c r="B247" s="21" t="s">
        <v>547</v>
      </c>
      <c r="C247" s="21"/>
      <c r="D247" s="24"/>
      <c r="E247" s="24">
        <v>1991.0</v>
      </c>
      <c r="F247" s="26"/>
      <c r="G247" s="28" t="s">
        <v>39</v>
      </c>
      <c r="H247" s="21" t="s">
        <v>45</v>
      </c>
      <c r="I247" s="21" t="s">
        <v>499</v>
      </c>
      <c r="J247" s="21"/>
      <c r="K247" s="21"/>
      <c r="L247" s="21"/>
      <c r="M247" s="21"/>
      <c r="N247" s="21"/>
      <c r="O247" s="26" t="b">
        <v>0</v>
      </c>
      <c r="P247" s="32"/>
      <c r="Q247" s="39"/>
    </row>
    <row r="248" ht="22.5" customHeight="1">
      <c r="A248" s="21" t="s">
        <v>115</v>
      </c>
      <c r="B248" s="21" t="s">
        <v>548</v>
      </c>
      <c r="C248" s="21"/>
      <c r="D248" s="24"/>
      <c r="E248" s="24">
        <v>1992.0</v>
      </c>
      <c r="F248" s="26"/>
      <c r="G248" s="28" t="s">
        <v>39</v>
      </c>
      <c r="H248" s="21" t="s">
        <v>45</v>
      </c>
      <c r="I248" s="21"/>
      <c r="J248" s="21"/>
      <c r="K248" s="21"/>
      <c r="L248" s="21"/>
      <c r="M248" s="21"/>
      <c r="N248" s="21"/>
      <c r="O248" s="26" t="b">
        <v>0</v>
      </c>
      <c r="P248" s="32"/>
      <c r="Q248" s="33"/>
    </row>
    <row r="249" ht="22.5" customHeight="1">
      <c r="A249" s="21" t="s">
        <v>549</v>
      </c>
      <c r="B249" s="21" t="s">
        <v>550</v>
      </c>
      <c r="C249" s="21"/>
      <c r="D249" s="24"/>
      <c r="E249" s="24">
        <v>1993.0</v>
      </c>
      <c r="F249" s="26"/>
      <c r="G249" s="28" t="s">
        <v>100</v>
      </c>
      <c r="H249" s="21" t="s">
        <v>45</v>
      </c>
      <c r="I249" s="21"/>
      <c r="J249" s="21"/>
      <c r="K249" s="21"/>
      <c r="L249" s="21"/>
      <c r="M249" s="21"/>
      <c r="N249" s="21"/>
      <c r="O249" s="26" t="b">
        <v>0</v>
      </c>
      <c r="P249" s="32"/>
      <c r="Q249" s="33"/>
    </row>
    <row r="250" ht="22.5" customHeight="1">
      <c r="A250" s="21" t="s">
        <v>551</v>
      </c>
      <c r="B250" s="21" t="s">
        <v>552</v>
      </c>
      <c r="C250" s="21"/>
      <c r="D250" s="24"/>
      <c r="E250" s="24">
        <v>1995.0</v>
      </c>
      <c r="F250" s="26"/>
      <c r="G250" s="28" t="s">
        <v>89</v>
      </c>
      <c r="H250" s="21" t="s">
        <v>45</v>
      </c>
      <c r="I250" s="21"/>
      <c r="J250" s="21"/>
      <c r="K250" s="21"/>
      <c r="L250" s="21"/>
      <c r="M250" s="21"/>
      <c r="N250" s="21"/>
      <c r="O250" s="26" t="b">
        <v>0</v>
      </c>
      <c r="P250" s="32"/>
      <c r="Q250" s="33"/>
    </row>
    <row r="251" ht="22.5" customHeight="1">
      <c r="A251" s="21" t="s">
        <v>553</v>
      </c>
      <c r="B251" s="21" t="s">
        <v>554</v>
      </c>
      <c r="C251" s="21"/>
      <c r="D251" s="24"/>
      <c r="E251" s="24">
        <v>1992.0</v>
      </c>
      <c r="F251" s="26"/>
      <c r="G251" s="28" t="s">
        <v>100</v>
      </c>
      <c r="H251" s="21" t="s">
        <v>45</v>
      </c>
      <c r="I251" s="21"/>
      <c r="J251" s="21"/>
      <c r="K251" s="21"/>
      <c r="L251" s="21"/>
      <c r="M251" s="21"/>
      <c r="N251" s="21"/>
      <c r="O251" s="26" t="b">
        <v>0</v>
      </c>
      <c r="P251" s="32"/>
      <c r="Q251" s="33"/>
    </row>
    <row r="252" ht="22.5" customHeight="1">
      <c r="A252" s="21" t="s">
        <v>555</v>
      </c>
      <c r="B252" s="21" t="s">
        <v>556</v>
      </c>
      <c r="C252" s="21"/>
      <c r="D252" s="24"/>
      <c r="E252" s="24">
        <v>1988.0</v>
      </c>
      <c r="F252" s="26"/>
      <c r="G252" s="28" t="s">
        <v>53</v>
      </c>
      <c r="H252" s="21" t="s">
        <v>45</v>
      </c>
      <c r="I252" s="21"/>
      <c r="J252" s="21"/>
      <c r="K252" s="21"/>
      <c r="L252" s="21"/>
      <c r="M252" s="21"/>
      <c r="N252" s="21"/>
      <c r="O252" s="26" t="b">
        <v>1</v>
      </c>
      <c r="P252" s="32"/>
      <c r="Q252" s="33"/>
    </row>
    <row r="253" ht="22.5" customHeight="1">
      <c r="A253" s="21" t="s">
        <v>557</v>
      </c>
      <c r="B253" s="21" t="s">
        <v>558</v>
      </c>
      <c r="C253" s="21"/>
      <c r="D253" s="24"/>
      <c r="E253" s="24">
        <v>1989.0</v>
      </c>
      <c r="F253" s="26"/>
      <c r="G253" s="28" t="s">
        <v>39</v>
      </c>
      <c r="H253" s="21" t="s">
        <v>45</v>
      </c>
      <c r="I253" s="21"/>
      <c r="J253" s="21"/>
      <c r="K253" s="21"/>
      <c r="L253" s="21"/>
      <c r="M253" s="21"/>
      <c r="N253" s="21"/>
      <c r="O253" s="26" t="b">
        <v>1</v>
      </c>
      <c r="P253" s="32"/>
      <c r="Q253" s="33"/>
    </row>
    <row r="254" ht="22.5" customHeight="1">
      <c r="A254" s="21" t="s">
        <v>559</v>
      </c>
      <c r="B254" s="21" t="s">
        <v>560</v>
      </c>
      <c r="C254" s="21"/>
      <c r="D254" s="24"/>
      <c r="E254" s="24">
        <v>1992.0</v>
      </c>
      <c r="F254" s="26"/>
      <c r="G254" s="28" t="s">
        <v>39</v>
      </c>
      <c r="H254" s="21" t="s">
        <v>45</v>
      </c>
      <c r="I254" s="21"/>
      <c r="J254" s="21"/>
      <c r="K254" s="21"/>
      <c r="L254" s="21"/>
      <c r="M254" s="21"/>
      <c r="N254" s="21"/>
      <c r="O254" s="26" t="b">
        <v>0</v>
      </c>
      <c r="P254" s="32"/>
      <c r="Q254" s="33"/>
    </row>
    <row r="255" ht="22.5" customHeight="1">
      <c r="A255" s="21" t="s">
        <v>408</v>
      </c>
      <c r="B255" s="21" t="s">
        <v>561</v>
      </c>
      <c r="C255" s="21"/>
      <c r="D255" s="24"/>
      <c r="E255" s="24">
        <v>1993.0</v>
      </c>
      <c r="F255" s="26"/>
      <c r="G255" s="28" t="s">
        <v>100</v>
      </c>
      <c r="H255" s="21" t="s">
        <v>45</v>
      </c>
      <c r="I255" s="21"/>
      <c r="J255" s="21"/>
      <c r="K255" s="21"/>
      <c r="L255" s="21"/>
      <c r="M255" s="21"/>
      <c r="N255" s="21"/>
      <c r="O255" s="26" t="b">
        <v>0</v>
      </c>
      <c r="P255" s="32"/>
      <c r="Q255" s="33"/>
    </row>
    <row r="256" ht="22.5" customHeight="1">
      <c r="A256" s="21" t="s">
        <v>562</v>
      </c>
      <c r="B256" s="21" t="s">
        <v>563</v>
      </c>
      <c r="C256" s="21"/>
      <c r="D256" s="24"/>
      <c r="E256" s="24">
        <v>1990.0</v>
      </c>
      <c r="F256" s="26"/>
      <c r="G256" s="28" t="s">
        <v>39</v>
      </c>
      <c r="H256" s="21" t="s">
        <v>62</v>
      </c>
      <c r="I256" s="21"/>
      <c r="J256" s="21"/>
      <c r="K256" s="21"/>
      <c r="L256" s="21"/>
      <c r="M256" s="21"/>
      <c r="N256" s="21"/>
      <c r="O256" s="26" t="b">
        <v>1</v>
      </c>
      <c r="P256" s="32"/>
      <c r="Q256" s="33"/>
    </row>
    <row r="257" ht="22.5" customHeight="1">
      <c r="A257" s="21" t="s">
        <v>564</v>
      </c>
      <c r="B257" s="21" t="s">
        <v>565</v>
      </c>
      <c r="C257" s="21"/>
      <c r="D257" s="24"/>
      <c r="E257" s="24">
        <v>1993.0</v>
      </c>
      <c r="F257" s="26"/>
      <c r="G257" s="28" t="s">
        <v>100</v>
      </c>
      <c r="H257" s="21" t="s">
        <v>96</v>
      </c>
      <c r="I257" s="21"/>
      <c r="J257" s="21"/>
      <c r="K257" s="21"/>
      <c r="L257" s="21"/>
      <c r="M257" s="21"/>
      <c r="N257" s="21"/>
      <c r="O257" s="26" t="b">
        <v>0</v>
      </c>
      <c r="P257" s="32"/>
      <c r="Q257" s="33"/>
    </row>
    <row r="258" ht="22.5" customHeight="1">
      <c r="A258" s="21" t="s">
        <v>566</v>
      </c>
      <c r="B258" s="21" t="s">
        <v>567</v>
      </c>
      <c r="C258" s="21"/>
      <c r="D258" s="24"/>
      <c r="E258" s="24">
        <v>1989.0</v>
      </c>
      <c r="F258" s="26"/>
      <c r="G258" s="28" t="s">
        <v>53</v>
      </c>
      <c r="H258" s="21" t="s">
        <v>45</v>
      </c>
      <c r="I258" s="21"/>
      <c r="J258" s="21"/>
      <c r="K258" s="21"/>
      <c r="L258" s="21"/>
      <c r="M258" s="21"/>
      <c r="N258" s="21"/>
      <c r="O258" s="26" t="b">
        <v>1</v>
      </c>
      <c r="P258" s="32"/>
      <c r="Q258" s="33"/>
    </row>
    <row r="259" ht="22.5" customHeight="1">
      <c r="A259" s="21" t="s">
        <v>446</v>
      </c>
      <c r="B259" s="21" t="s">
        <v>567</v>
      </c>
      <c r="C259" s="21"/>
      <c r="D259" s="24"/>
      <c r="E259" s="24">
        <v>1989.0</v>
      </c>
      <c r="F259" s="26"/>
      <c r="G259" s="28" t="s">
        <v>39</v>
      </c>
      <c r="H259" s="21" t="s">
        <v>45</v>
      </c>
      <c r="I259" s="21"/>
      <c r="J259" s="21"/>
      <c r="K259" s="21"/>
      <c r="L259" s="21"/>
      <c r="M259" s="21"/>
      <c r="N259" s="21"/>
      <c r="O259" s="26" t="b">
        <v>1</v>
      </c>
      <c r="P259" s="32" t="s">
        <v>56</v>
      </c>
      <c r="Q259" s="33"/>
    </row>
    <row r="260" ht="22.5" customHeight="1">
      <c r="A260" s="21" t="s">
        <v>305</v>
      </c>
      <c r="B260" s="21" t="s">
        <v>568</v>
      </c>
      <c r="C260" s="21"/>
      <c r="D260" s="24"/>
      <c r="E260" s="24">
        <v>1997.0</v>
      </c>
      <c r="F260" s="26"/>
      <c r="G260" s="28" t="s">
        <v>89</v>
      </c>
      <c r="H260" s="21" t="s">
        <v>261</v>
      </c>
      <c r="I260" s="21"/>
      <c r="J260" s="21"/>
      <c r="K260" s="21"/>
      <c r="L260" s="21"/>
      <c r="M260" s="21"/>
      <c r="N260" s="21"/>
      <c r="O260" s="26" t="b">
        <v>0</v>
      </c>
      <c r="P260" s="32"/>
      <c r="Q260" s="33"/>
    </row>
    <row r="261" ht="22.5" customHeight="1">
      <c r="A261" s="21" t="s">
        <v>569</v>
      </c>
      <c r="B261" s="21" t="s">
        <v>570</v>
      </c>
      <c r="C261" s="21"/>
      <c r="D261" s="24"/>
      <c r="E261" s="24">
        <v>1989.0</v>
      </c>
      <c r="F261" s="26"/>
      <c r="G261" s="28" t="s">
        <v>53</v>
      </c>
      <c r="H261" s="21" t="s">
        <v>40</v>
      </c>
      <c r="I261" s="21"/>
      <c r="J261" s="21"/>
      <c r="K261" s="21"/>
      <c r="L261" s="21"/>
      <c r="M261" s="21"/>
      <c r="N261" s="21"/>
      <c r="O261" s="26" t="b">
        <v>0</v>
      </c>
      <c r="P261" s="32"/>
      <c r="Q261" s="33"/>
    </row>
    <row r="262" ht="22.5" customHeight="1">
      <c r="A262" s="21" t="s">
        <v>571</v>
      </c>
      <c r="B262" s="21" t="s">
        <v>572</v>
      </c>
      <c r="C262" s="21"/>
      <c r="D262" s="24"/>
      <c r="E262" s="24">
        <v>1988.0</v>
      </c>
      <c r="F262" s="26"/>
      <c r="G262" s="28" t="s">
        <v>100</v>
      </c>
      <c r="H262" s="21" t="s">
        <v>204</v>
      </c>
      <c r="I262" s="21"/>
      <c r="J262" s="21"/>
      <c r="K262" s="21"/>
      <c r="L262" s="21"/>
      <c r="M262" s="21"/>
      <c r="N262" s="21"/>
      <c r="O262" s="26" t="b">
        <v>0</v>
      </c>
      <c r="P262" s="32"/>
      <c r="Q262" s="33"/>
    </row>
    <row r="263" ht="22.5" customHeight="1">
      <c r="A263" s="21" t="s">
        <v>573</v>
      </c>
      <c r="B263" s="21" t="s">
        <v>574</v>
      </c>
      <c r="C263" s="21"/>
      <c r="D263" s="24"/>
      <c r="E263" s="24">
        <v>1992.0</v>
      </c>
      <c r="F263" s="26"/>
      <c r="G263" s="28" t="s">
        <v>140</v>
      </c>
      <c r="H263" s="21" t="s">
        <v>96</v>
      </c>
      <c r="I263" s="21"/>
      <c r="J263" s="21"/>
      <c r="K263" s="21"/>
      <c r="L263" s="21"/>
      <c r="M263" s="21"/>
      <c r="N263" s="21"/>
      <c r="O263" s="26" t="b">
        <v>0</v>
      </c>
      <c r="P263" s="32"/>
      <c r="Q263" s="33"/>
    </row>
    <row r="264" ht="22.5" customHeight="1">
      <c r="A264" s="21" t="s">
        <v>575</v>
      </c>
      <c r="B264" s="21" t="s">
        <v>576</v>
      </c>
      <c r="C264" s="21"/>
      <c r="D264" s="24"/>
      <c r="E264" s="24">
        <v>1994.0</v>
      </c>
      <c r="F264" s="26"/>
      <c r="G264" s="28" t="s">
        <v>100</v>
      </c>
      <c r="H264" s="21" t="s">
        <v>96</v>
      </c>
      <c r="I264" s="21"/>
      <c r="J264" s="21"/>
      <c r="K264" s="21"/>
      <c r="L264" s="21"/>
      <c r="M264" s="21"/>
      <c r="N264" s="21"/>
      <c r="O264" s="26" t="b">
        <v>0</v>
      </c>
      <c r="P264" s="32"/>
      <c r="Q264" s="33"/>
    </row>
    <row r="265" ht="22.5" customHeight="1">
      <c r="A265" s="21" t="s">
        <v>577</v>
      </c>
      <c r="B265" s="21" t="s">
        <v>578</v>
      </c>
      <c r="C265" s="21"/>
      <c r="D265" s="24"/>
      <c r="E265" s="24">
        <v>1993.0</v>
      </c>
      <c r="F265" s="26"/>
      <c r="G265" s="28" t="s">
        <v>100</v>
      </c>
      <c r="H265" s="21" t="s">
        <v>45</v>
      </c>
      <c r="I265" s="21"/>
      <c r="J265" s="21"/>
      <c r="K265" s="21"/>
      <c r="L265" s="21"/>
      <c r="M265" s="21"/>
      <c r="N265" s="21"/>
      <c r="O265" s="26" t="b">
        <v>0</v>
      </c>
      <c r="P265" s="32"/>
      <c r="Q265" s="33"/>
    </row>
    <row r="266" ht="22.5" customHeight="1">
      <c r="A266" s="21" t="s">
        <v>579</v>
      </c>
      <c r="B266" s="21" t="s">
        <v>580</v>
      </c>
      <c r="C266" s="21"/>
      <c r="D266" s="24"/>
      <c r="E266" s="24">
        <v>1988.0</v>
      </c>
      <c r="F266" s="26"/>
      <c r="G266" s="28" t="s">
        <v>53</v>
      </c>
      <c r="H266" s="21" t="s">
        <v>45</v>
      </c>
      <c r="I266" s="21"/>
      <c r="J266" s="21"/>
      <c r="K266" s="21"/>
      <c r="L266" s="21"/>
      <c r="M266" s="21"/>
      <c r="N266" s="21"/>
      <c r="O266" s="26" t="b">
        <v>0</v>
      </c>
      <c r="P266" s="32"/>
      <c r="Q266" s="33"/>
    </row>
    <row r="267" ht="22.5" customHeight="1">
      <c r="A267" s="21" t="s">
        <v>581</v>
      </c>
      <c r="B267" s="21" t="s">
        <v>582</v>
      </c>
      <c r="C267" s="21"/>
      <c r="D267" s="24"/>
      <c r="E267" s="24">
        <v>1991.0</v>
      </c>
      <c r="F267" s="26"/>
      <c r="G267" s="28" t="s">
        <v>140</v>
      </c>
      <c r="H267" s="21" t="s">
        <v>96</v>
      </c>
      <c r="I267" s="21"/>
      <c r="J267" s="21"/>
      <c r="K267" s="21"/>
      <c r="L267" s="21"/>
      <c r="M267" s="21"/>
      <c r="N267" s="21"/>
      <c r="O267" s="26" t="b">
        <v>0</v>
      </c>
      <c r="P267" s="32"/>
      <c r="Q267" s="33"/>
    </row>
    <row r="268" ht="22.5" customHeight="1">
      <c r="A268" s="21" t="s">
        <v>583</v>
      </c>
      <c r="B268" s="21" t="s">
        <v>584</v>
      </c>
      <c r="C268" s="21"/>
      <c r="D268" s="24"/>
      <c r="E268" s="24">
        <v>1994.0</v>
      </c>
      <c r="F268" s="26"/>
      <c r="G268" s="28" t="s">
        <v>100</v>
      </c>
      <c r="H268" s="21" t="s">
        <v>96</v>
      </c>
      <c r="I268" s="21"/>
      <c r="J268" s="21"/>
      <c r="K268" s="21"/>
      <c r="L268" s="21"/>
      <c r="M268" s="21"/>
      <c r="N268" s="21"/>
      <c r="O268" s="26" t="b">
        <v>0</v>
      </c>
      <c r="P268" s="32"/>
      <c r="Q268" s="33"/>
    </row>
    <row r="269" ht="22.5" customHeight="1">
      <c r="A269" s="21" t="s">
        <v>585</v>
      </c>
      <c r="B269" s="21" t="s">
        <v>586</v>
      </c>
      <c r="C269" s="21"/>
      <c r="D269" s="24"/>
      <c r="E269" s="24">
        <v>1990.0</v>
      </c>
      <c r="F269" s="26"/>
      <c r="G269" s="28" t="s">
        <v>39</v>
      </c>
      <c r="H269" s="21" t="s">
        <v>96</v>
      </c>
      <c r="I269" s="21"/>
      <c r="J269" s="21"/>
      <c r="K269" s="21"/>
      <c r="L269" s="21"/>
      <c r="M269" s="21"/>
      <c r="N269" s="21"/>
      <c r="O269" s="26" t="b">
        <v>0</v>
      </c>
      <c r="P269" s="32"/>
      <c r="Q269" s="33"/>
    </row>
    <row r="270" ht="22.5" customHeight="1">
      <c r="A270" s="21" t="s">
        <v>587</v>
      </c>
      <c r="B270" s="21" t="s">
        <v>588</v>
      </c>
      <c r="C270" s="21"/>
      <c r="D270" s="24"/>
      <c r="E270" s="24">
        <v>1986.0</v>
      </c>
      <c r="F270" s="26"/>
      <c r="G270" s="28" t="s">
        <v>53</v>
      </c>
      <c r="H270" s="21" t="s">
        <v>124</v>
      </c>
      <c r="I270" s="21"/>
      <c r="J270" s="21"/>
      <c r="K270" s="21"/>
      <c r="L270" s="21"/>
      <c r="M270" s="21"/>
      <c r="N270" s="21"/>
      <c r="O270" s="26" t="b">
        <v>0</v>
      </c>
      <c r="P270" s="32"/>
      <c r="Q270" s="33"/>
    </row>
    <row r="271" ht="22.5" customHeight="1">
      <c r="A271" s="21" t="s">
        <v>589</v>
      </c>
      <c r="B271" s="21" t="s">
        <v>588</v>
      </c>
      <c r="C271" s="21"/>
      <c r="D271" s="24"/>
      <c r="E271" s="24">
        <v>1986.0</v>
      </c>
      <c r="F271" s="26"/>
      <c r="G271" s="28" t="s">
        <v>39</v>
      </c>
      <c r="H271" s="21" t="s">
        <v>124</v>
      </c>
      <c r="I271" s="21"/>
      <c r="J271" s="21"/>
      <c r="K271" s="21"/>
      <c r="L271" s="21"/>
      <c r="M271" s="21"/>
      <c r="N271" s="21"/>
      <c r="O271" s="26" t="b">
        <v>0</v>
      </c>
      <c r="P271" s="32" t="s">
        <v>56</v>
      </c>
      <c r="Q271" s="33"/>
    </row>
    <row r="272" ht="22.5" customHeight="1">
      <c r="A272" s="21" t="s">
        <v>590</v>
      </c>
      <c r="B272" s="21" t="s">
        <v>591</v>
      </c>
      <c r="C272" s="21"/>
      <c r="D272" s="24"/>
      <c r="E272" s="24">
        <v>1993.0</v>
      </c>
      <c r="F272" s="26"/>
      <c r="G272" s="28" t="s">
        <v>100</v>
      </c>
      <c r="H272" s="21" t="s">
        <v>261</v>
      </c>
      <c r="I272" s="21"/>
      <c r="J272" s="21"/>
      <c r="K272" s="21"/>
      <c r="L272" s="21"/>
      <c r="M272" s="21"/>
      <c r="N272" s="21"/>
      <c r="O272" s="26" t="b">
        <v>0</v>
      </c>
      <c r="P272" s="32"/>
      <c r="Q272" s="33"/>
    </row>
    <row r="273" ht="22.5" customHeight="1">
      <c r="A273" s="21" t="s">
        <v>215</v>
      </c>
      <c r="B273" s="21" t="s">
        <v>592</v>
      </c>
      <c r="C273" s="21"/>
      <c r="D273" s="24"/>
      <c r="E273" s="24">
        <v>1996.0</v>
      </c>
      <c r="F273" s="26"/>
      <c r="G273" s="28" t="s">
        <v>89</v>
      </c>
      <c r="H273" s="21" t="s">
        <v>45</v>
      </c>
      <c r="I273" s="21"/>
      <c r="J273" s="21"/>
      <c r="K273" s="21"/>
      <c r="L273" s="21"/>
      <c r="M273" s="21"/>
      <c r="N273" s="21"/>
      <c r="O273" s="26" t="b">
        <v>0</v>
      </c>
      <c r="P273" s="32"/>
      <c r="Q273" s="33"/>
    </row>
    <row r="274" ht="22.5" customHeight="1">
      <c r="A274" s="21" t="s">
        <v>106</v>
      </c>
      <c r="B274" s="21" t="s">
        <v>593</v>
      </c>
      <c r="C274" s="21"/>
      <c r="D274" s="24"/>
      <c r="E274" s="24">
        <v>1988.0</v>
      </c>
      <c r="F274" s="26"/>
      <c r="G274" s="28" t="s">
        <v>39</v>
      </c>
      <c r="H274" s="21" t="s">
        <v>62</v>
      </c>
      <c r="I274" s="21"/>
      <c r="J274" s="21"/>
      <c r="K274" s="21"/>
      <c r="L274" s="21"/>
      <c r="M274" s="21"/>
      <c r="N274" s="21"/>
      <c r="O274" s="26" t="b">
        <v>0</v>
      </c>
      <c r="P274" s="32"/>
      <c r="Q274" s="33"/>
    </row>
    <row r="275" ht="22.5" customHeight="1">
      <c r="A275" s="21" t="s">
        <v>594</v>
      </c>
      <c r="B275" s="21" t="s">
        <v>595</v>
      </c>
      <c r="C275" s="21"/>
      <c r="D275" s="24"/>
      <c r="E275" s="24">
        <v>1987.0</v>
      </c>
      <c r="F275" s="26"/>
      <c r="G275" s="28" t="s">
        <v>53</v>
      </c>
      <c r="H275" s="21" t="s">
        <v>40</v>
      </c>
      <c r="I275" s="21"/>
      <c r="J275" s="21" t="s">
        <v>149</v>
      </c>
      <c r="K275" s="21"/>
      <c r="L275" s="21"/>
      <c r="M275" s="21"/>
      <c r="N275" s="21"/>
      <c r="O275" s="26" t="b">
        <v>1</v>
      </c>
      <c r="P275" s="32"/>
      <c r="Q275" s="33"/>
    </row>
    <row r="276" ht="22.5" customHeight="1">
      <c r="A276" s="21" t="s">
        <v>441</v>
      </c>
      <c r="B276" s="21" t="s">
        <v>596</v>
      </c>
      <c r="C276" s="21"/>
      <c r="D276" s="24"/>
      <c r="E276" s="24">
        <v>1987.0</v>
      </c>
      <c r="F276" s="26"/>
      <c r="G276" s="28" t="s">
        <v>39</v>
      </c>
      <c r="H276" s="21" t="s">
        <v>45</v>
      </c>
      <c r="I276" s="21"/>
      <c r="J276" s="21"/>
      <c r="K276" s="21"/>
      <c r="L276" s="21"/>
      <c r="M276" s="21"/>
      <c r="N276" s="21"/>
      <c r="O276" s="26" t="b">
        <v>0</v>
      </c>
      <c r="P276" s="32"/>
      <c r="Q276" s="33"/>
    </row>
    <row r="277" ht="15.75" customHeight="1">
      <c r="A277" s="21" t="s">
        <v>545</v>
      </c>
      <c r="B277" s="46" t="s">
        <v>597</v>
      </c>
      <c r="C277" s="46"/>
      <c r="D277" s="47"/>
      <c r="E277" s="47">
        <v>1987.0</v>
      </c>
      <c r="F277" s="48"/>
      <c r="G277" s="28" t="s">
        <v>53</v>
      </c>
      <c r="H277" s="46" t="s">
        <v>45</v>
      </c>
      <c r="I277" s="46"/>
      <c r="J277" s="46"/>
      <c r="K277" s="46"/>
      <c r="L277" s="46"/>
      <c r="M277" s="46"/>
      <c r="N277" s="46"/>
      <c r="O277" s="48" t="b">
        <v>0</v>
      </c>
      <c r="P277" s="45"/>
      <c r="Q277" s="33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</row>
    <row r="1001" ht="15.75" customHeight="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</row>
  </sheetData>
  <customSheetViews>
    <customSheetView guid="{AA0F303E-A0C1-4D04-8933-B2CAB585B07B}" filter="1" showAutoFilter="1">
      <autoFilter ref="$A$1:$Q$277"/>
      <extLst>
        <ext uri="GoogleSheetsCustomDataVersion1">
          <go:sheetsCustomData xmlns:go="http://customooxmlschemas.google.com/" filterViewId="1783503031"/>
        </ext>
      </extLst>
    </customSheetView>
    <customSheetView guid="{AA0F303E-A0C1-4D04-8933-B2CAB585B07B}" filter="1" showAutoFilter="1">
      <autoFilter ref="$A$1:$Q$277"/>
      <extLst>
        <ext uri="GoogleSheetsCustomDataVersion1">
          <go:sheetsCustomData xmlns:go="http://customooxmlschemas.google.com/" filterViewId="798048541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0"/>
    <col customWidth="1" min="3" max="3" width="47.14"/>
    <col customWidth="1" hidden="1" min="4" max="4" width="40.57"/>
    <col customWidth="1" min="5" max="5" width="16.29"/>
    <col customWidth="1" min="6" max="6" width="13.43"/>
    <col customWidth="1" min="7" max="7" width="14.0"/>
    <col customWidth="1" min="8" max="8" width="12.43"/>
    <col customWidth="1" min="9" max="9" width="9.29"/>
    <col customWidth="1" min="10" max="10" width="10.71"/>
    <col customWidth="1" min="11" max="11" width="13.0"/>
    <col customWidth="1" min="12" max="12" width="14.57"/>
    <col customWidth="1" min="13" max="16" width="13.57"/>
    <col customWidth="1" min="17" max="17" width="13.71"/>
    <col customWidth="1" min="18" max="18" width="9.57"/>
    <col customWidth="1" min="19" max="19" width="15.86"/>
    <col customWidth="1" min="20" max="20" width="18.57"/>
    <col customWidth="1" min="21" max="21" width="30.29"/>
  </cols>
  <sheetData>
    <row r="1" ht="37.5" customHeight="1">
      <c r="A1" s="1"/>
      <c r="B1" s="2"/>
      <c r="C1" s="3"/>
      <c r="D1" s="3"/>
      <c r="E1" s="5"/>
      <c r="F1" s="6"/>
      <c r="G1" s="7"/>
      <c r="H1" s="7"/>
      <c r="I1" s="9"/>
      <c r="J1" s="9" t="str">
        <f>"🎮 Tectoy: " &amp; AA3 &amp; " | 📦 Total: " &amp; AA4 &amp; " | 📦 CIB: " &amp; AA5 &amp; " • 📻 Boxed: " &amp; AA6 &amp; " • 🕹️ Loose: " &amp; AA7 &amp; " | CP: " &amp; AA8 &amp; " • GG: " &amp; AA9 &amp; " • GP: " &amp; AA10 &amp; " • AB: " &amp; AA11 &amp; " • AZ: " &amp; AA12</f>
        <v>🎮 Tectoy: 132/245 | 📦 Total: 157 | 📦 CIB: 73 • 📻 Boxed: 26 • 🕹️ Loose: 54 | CP: 40/62 • GG: 68/102 • GP: 13/15 • AB: 11/56 • AZ: 4/35</v>
      </c>
      <c r="K1" s="9"/>
      <c r="L1" s="9"/>
      <c r="M1" s="14"/>
      <c r="N1" s="14"/>
      <c r="O1" s="14"/>
      <c r="P1" s="15"/>
      <c r="Q1" s="14"/>
      <c r="R1" s="17"/>
      <c r="S1" s="17"/>
      <c r="T1" s="17"/>
      <c r="U1" s="18"/>
      <c r="AA1" s="20"/>
    </row>
    <row r="2" ht="22.5" customHeight="1">
      <c r="A2" s="22" t="s">
        <v>0</v>
      </c>
      <c r="B2" s="23" t="s">
        <v>19</v>
      </c>
      <c r="C2" s="25" t="s">
        <v>20</v>
      </c>
      <c r="D2" s="23" t="s">
        <v>21</v>
      </c>
      <c r="E2" s="27" t="s">
        <v>22</v>
      </c>
      <c r="F2" s="29" t="s">
        <v>6</v>
      </c>
      <c r="G2" s="30" t="s">
        <v>24</v>
      </c>
      <c r="H2" s="30" t="s">
        <v>25</v>
      </c>
      <c r="I2" s="25" t="s">
        <v>4</v>
      </c>
      <c r="J2" s="23" t="s">
        <v>26</v>
      </c>
      <c r="K2" s="23" t="s">
        <v>27</v>
      </c>
      <c r="L2" s="23" t="s">
        <v>28</v>
      </c>
      <c r="M2" s="31" t="s">
        <v>29</v>
      </c>
      <c r="N2" s="31" t="s">
        <v>30</v>
      </c>
      <c r="O2" s="31" t="s">
        <v>31</v>
      </c>
      <c r="P2" s="34" t="s">
        <v>32</v>
      </c>
      <c r="Q2" s="35" t="s">
        <v>33</v>
      </c>
      <c r="R2" s="36" t="s">
        <v>35</v>
      </c>
      <c r="S2" s="36" t="s">
        <v>37</v>
      </c>
      <c r="T2" s="36" t="s">
        <v>38</v>
      </c>
      <c r="U2" s="37" t="s">
        <v>15</v>
      </c>
      <c r="AA2" s="20"/>
    </row>
    <row r="3" ht="22.5" customHeight="1">
      <c r="A3" s="38"/>
      <c r="B3" s="32"/>
      <c r="C3" s="32"/>
      <c r="D3" s="32" t="s">
        <v>42</v>
      </c>
      <c r="E3" s="28" t="str">
        <f t="shared" ref="E3:E296" si="1">IF(A3="","",IF(M3=FALSE,"Não possuo",IF(AND(M3,N3,O3,P3),"CIB",IF(AND(M3,N3,O3,NOT(P3)),"Boxed",IF(AND(M3,NOT(N3),NOT(O3),NOT(P3)),"Loose","Incompleto")))))</f>
        <v/>
      </c>
      <c r="F3" s="40"/>
      <c r="G3" s="41">
        <v>0.0</v>
      </c>
      <c r="H3" s="41"/>
      <c r="I3" s="42"/>
      <c r="J3" s="41" t="s">
        <v>46</v>
      </c>
      <c r="K3" s="41" t="s">
        <v>46</v>
      </c>
      <c r="L3" s="41"/>
      <c r="M3" s="28" t="b">
        <v>1</v>
      </c>
      <c r="N3" s="28" t="b">
        <v>0</v>
      </c>
      <c r="O3" s="28" t="b">
        <v>0</v>
      </c>
      <c r="P3" s="42" t="b">
        <v>0</v>
      </c>
      <c r="Q3" s="43" t="s">
        <v>47</v>
      </c>
      <c r="R3" s="21"/>
      <c r="S3" s="21"/>
      <c r="T3" s="21"/>
      <c r="U3" s="38"/>
      <c r="Z3" s="44" t="s">
        <v>50</v>
      </c>
      <c r="AA3" s="20" t="str">
        <f>IFERROR(__xludf.DUMMYFUNCTION("COUNTUNIQUE(ARRAYFORMULA(IF((K3:K296=""TecToy"")*(E3:E296&lt;&gt;""Não possuo"")*(A3:A296&lt;&gt;""""), REGEXEXTRACT(A3:A296, ""-(\d+)-""), """"))) &amp; ""/"" &amp; COUNTUNIQUE(ARRAYFORMULA(IF(Catalogo_BR!A2:A296&lt;&gt;"""", REGEXEXTRACT(Catalogo_BR!A2:A296, ""-(\d+)-""), """"))"&amp;")"),"132/245")</f>
        <v>132/245</v>
      </c>
    </row>
    <row r="4" ht="22.5" customHeight="1">
      <c r="A4" s="38"/>
      <c r="B4" s="32"/>
      <c r="C4" s="32"/>
      <c r="D4" s="32" t="s">
        <v>55</v>
      </c>
      <c r="E4" s="28" t="str">
        <f t="shared" si="1"/>
        <v/>
      </c>
      <c r="F4" s="40"/>
      <c r="G4" s="41">
        <v>0.0</v>
      </c>
      <c r="H4" s="41"/>
      <c r="I4" s="42"/>
      <c r="J4" s="41" t="s">
        <v>46</v>
      </c>
      <c r="K4" s="41" t="s">
        <v>46</v>
      </c>
      <c r="L4" s="41"/>
      <c r="M4" s="28" t="b">
        <v>1</v>
      </c>
      <c r="N4" s="28" t="b">
        <v>0</v>
      </c>
      <c r="O4" s="28" t="b">
        <v>0</v>
      </c>
      <c r="P4" s="42" t="b">
        <v>0</v>
      </c>
      <c r="Q4" s="43" t="s">
        <v>47</v>
      </c>
      <c r="R4" s="21"/>
      <c r="S4" s="21"/>
      <c r="T4" s="21"/>
      <c r="U4" s="38"/>
      <c r="Z4" s="44" t="s">
        <v>58</v>
      </c>
      <c r="AA4" s="20">
        <f>COUNTIFS(E3:E296, "&lt;&gt;Não possuo", E3:E296, "&lt;&gt;") - IFERROR(COUNTIFS(E3:E296, "&lt;&gt;Não possuo", C3:C296, "", D3:D296, ""), 0)</f>
        <v>157</v>
      </c>
    </row>
    <row r="5" ht="22.5" customHeight="1">
      <c r="A5" s="38"/>
      <c r="B5" s="32"/>
      <c r="C5" s="32"/>
      <c r="D5" s="32" t="s">
        <v>63</v>
      </c>
      <c r="E5" s="28" t="str">
        <f t="shared" si="1"/>
        <v/>
      </c>
      <c r="F5" s="40"/>
      <c r="G5" s="41">
        <v>0.0</v>
      </c>
      <c r="H5" s="41"/>
      <c r="I5" s="42"/>
      <c r="J5" s="41" t="s">
        <v>46</v>
      </c>
      <c r="K5" s="41" t="s">
        <v>46</v>
      </c>
      <c r="L5" s="41"/>
      <c r="M5" s="28" t="b">
        <v>1</v>
      </c>
      <c r="N5" s="28" t="b">
        <v>0</v>
      </c>
      <c r="O5" s="28" t="b">
        <v>0</v>
      </c>
      <c r="P5" s="42" t="b">
        <v>0</v>
      </c>
      <c r="Q5" s="43" t="s">
        <v>47</v>
      </c>
      <c r="R5" s="21"/>
      <c r="S5" s="21"/>
      <c r="T5" s="21"/>
      <c r="U5" s="38"/>
      <c r="Z5" s="44" t="s">
        <v>67</v>
      </c>
      <c r="AA5" s="20">
        <f>COUNTIF(E3:E296, "CIB")</f>
        <v>73</v>
      </c>
    </row>
    <row r="6" ht="22.5" customHeight="1">
      <c r="A6" s="38" t="s">
        <v>69</v>
      </c>
      <c r="B6" s="32"/>
      <c r="C6" s="32" t="str">
        <f t="array" ref="C6">IF(A6="","",_xlfn.XLOOKUP(A6,Catalogo_BR!$A$2:$A$277,Catalogo_BR!$B$2:$B$277,"",0))</f>
        <v>Gain Ground</v>
      </c>
      <c r="D6" s="32"/>
      <c r="E6" s="28" t="str">
        <f t="shared" si="1"/>
        <v>Boxed</v>
      </c>
      <c r="F6" s="40" t="s">
        <v>39</v>
      </c>
      <c r="G6" s="41">
        <v>0.0</v>
      </c>
      <c r="H6" s="41">
        <v>4.0</v>
      </c>
      <c r="I6" s="42">
        <v>1991.0</v>
      </c>
      <c r="J6" s="41" t="s">
        <v>75</v>
      </c>
      <c r="K6" s="41" t="s">
        <v>76</v>
      </c>
      <c r="L6" s="41" t="s">
        <v>77</v>
      </c>
      <c r="M6" s="28" t="b">
        <v>1</v>
      </c>
      <c r="N6" s="28" t="b">
        <v>1</v>
      </c>
      <c r="O6" s="28" t="b">
        <v>1</v>
      </c>
      <c r="P6" s="42" t="b">
        <v>0</v>
      </c>
      <c r="Q6" s="43" t="s">
        <v>47</v>
      </c>
      <c r="R6" s="21"/>
      <c r="S6" s="21"/>
      <c r="T6" s="21"/>
      <c r="U6" s="38"/>
      <c r="Z6" s="44" t="s">
        <v>78</v>
      </c>
      <c r="AA6" s="20">
        <f>COUNTIF(E3:E296, "Boxed")</f>
        <v>26</v>
      </c>
    </row>
    <row r="7" ht="22.5" customHeight="1">
      <c r="A7" s="38" t="s">
        <v>81</v>
      </c>
      <c r="B7" s="32"/>
      <c r="C7" s="32" t="str">
        <f t="array" ref="C7">IF(A7="","",_xlfn.XLOOKUP(A7,Catalogo_BR!$A$2:$A$277,Catalogo_BR!$B$2:$B$277,"",0))</f>
        <v>Golvellius</v>
      </c>
      <c r="D7" s="32"/>
      <c r="E7" s="28" t="str">
        <f t="shared" si="1"/>
        <v>Boxed</v>
      </c>
      <c r="F7" s="40" t="s">
        <v>39</v>
      </c>
      <c r="G7" s="41">
        <v>0.0</v>
      </c>
      <c r="H7" s="41">
        <v>5.0</v>
      </c>
      <c r="I7" s="42">
        <v>1988.0</v>
      </c>
      <c r="J7" s="41" t="s">
        <v>75</v>
      </c>
      <c r="K7" s="41" t="s">
        <v>76</v>
      </c>
      <c r="L7" s="41" t="s">
        <v>77</v>
      </c>
      <c r="M7" s="28" t="b">
        <v>1</v>
      </c>
      <c r="N7" s="28" t="b">
        <v>1</v>
      </c>
      <c r="O7" s="28" t="b">
        <v>1</v>
      </c>
      <c r="P7" s="42" t="b">
        <v>0</v>
      </c>
      <c r="Q7" s="43" t="s">
        <v>47</v>
      </c>
      <c r="R7" s="21"/>
      <c r="S7" s="21"/>
      <c r="T7" s="21"/>
      <c r="U7" s="38"/>
      <c r="Z7" s="44" t="s">
        <v>86</v>
      </c>
      <c r="AA7" s="20">
        <f>COUNTIF(E3:E296, "Loose")</f>
        <v>54</v>
      </c>
    </row>
    <row r="8" ht="22.5" customHeight="1">
      <c r="A8" s="38" t="s">
        <v>90</v>
      </c>
      <c r="B8" s="32"/>
      <c r="C8" s="32" t="str">
        <f t="array" ref="C8">IF(A8="","",_xlfn.XLOOKUP(A8,Catalogo_BR!$A$2:$A$277,Catalogo_BR!$B$2:$B$277,"",0))</f>
        <v>Sagaia</v>
      </c>
      <c r="D8" s="32"/>
      <c r="E8" s="28" t="str">
        <f t="shared" si="1"/>
        <v>Boxed</v>
      </c>
      <c r="F8" s="40" t="s">
        <v>39</v>
      </c>
      <c r="G8" s="41">
        <v>0.0</v>
      </c>
      <c r="H8" s="41">
        <v>4.0</v>
      </c>
      <c r="I8" s="42">
        <v>1992.0</v>
      </c>
      <c r="J8" s="41" t="s">
        <v>75</v>
      </c>
      <c r="K8" s="41" t="s">
        <v>76</v>
      </c>
      <c r="L8" s="41" t="s">
        <v>77</v>
      </c>
      <c r="M8" s="28" t="b">
        <v>1</v>
      </c>
      <c r="N8" s="28" t="b">
        <v>1</v>
      </c>
      <c r="O8" s="28" t="b">
        <v>1</v>
      </c>
      <c r="P8" s="42" t="b">
        <v>0</v>
      </c>
      <c r="Q8" s="43" t="s">
        <v>47</v>
      </c>
      <c r="R8" s="21"/>
      <c r="S8" s="21"/>
      <c r="T8" s="21"/>
      <c r="U8" s="38"/>
      <c r="Z8" s="44" t="s">
        <v>93</v>
      </c>
      <c r="AA8" s="20" t="str">
        <f>IFERROR(__xludf.DUMMYFUNCTION("COUNTUNIQUE(FILTER(A3:A296, F3:F296=""CP"", E3:E296&lt;&gt;""Não possuo"", A3:A296&lt;&gt;"""")) &amp; ""/"" &amp; COUNTUNIQUE(FILTER(Catalogo_BR!A2:A296, Catalogo_BR!G2:G296=""CP"", Catalogo_BR!A2:A296&lt;&gt;""""))"),"40/62")</f>
        <v>40/62</v>
      </c>
    </row>
    <row r="9" ht="22.5" customHeight="1">
      <c r="A9" s="38" t="s">
        <v>97</v>
      </c>
      <c r="B9" s="32"/>
      <c r="C9" s="32" t="str">
        <f t="array" ref="C9">IF(A9="","",_xlfn.XLOOKUP(A9,Catalogo_BR!$A$2:$A$277,Catalogo_BR!$B$2:$B$277,"",0))</f>
        <v>Psychic World</v>
      </c>
      <c r="D9" s="32"/>
      <c r="E9" s="28" t="str">
        <f t="shared" si="1"/>
        <v>Boxed</v>
      </c>
      <c r="F9" s="40" t="s">
        <v>39</v>
      </c>
      <c r="G9" s="41">
        <v>0.0</v>
      </c>
      <c r="H9" s="41">
        <v>5.0</v>
      </c>
      <c r="I9" s="42">
        <v>1991.0</v>
      </c>
      <c r="J9" s="41" t="s">
        <v>75</v>
      </c>
      <c r="K9" s="41" t="s">
        <v>76</v>
      </c>
      <c r="L9" s="41" t="s">
        <v>77</v>
      </c>
      <c r="M9" s="28" t="b">
        <v>1</v>
      </c>
      <c r="N9" s="28" t="b">
        <v>1</v>
      </c>
      <c r="O9" s="28" t="b">
        <v>1</v>
      </c>
      <c r="P9" s="42" t="b">
        <v>0</v>
      </c>
      <c r="Q9" s="43" t="s">
        <v>47</v>
      </c>
      <c r="R9" s="21"/>
      <c r="S9" s="21"/>
      <c r="T9" s="21"/>
      <c r="U9" s="38"/>
      <c r="Z9" s="44" t="s">
        <v>103</v>
      </c>
      <c r="AA9" s="20" t="str">
        <f>IFERROR(__xludf.DUMMYFUNCTION("COUNTUNIQUE(FILTER(A3:A296, F3:F296=""GG"", E3:E296&lt;&gt;""Não possuo"", A3:A296&lt;&gt;"""")) &amp; ""/"" &amp; COUNTUNIQUE(FILTER(Catalogo_BR!A2:A296, Catalogo_BR!G2:G296=""GG"", Catalogo_BR!A2:A296&lt;&gt;""""))"),"68/102")</f>
        <v>68/102</v>
      </c>
    </row>
    <row r="10" ht="22.5" customHeight="1">
      <c r="A10" s="38" t="s">
        <v>106</v>
      </c>
      <c r="B10" s="32"/>
      <c r="C10" s="32" t="str">
        <f t="array" ref="C10">IF(A10="","",_xlfn.XLOOKUP(A10,Catalogo_BR!$A$2:$A$277,Catalogo_BR!$B$2:$B$277,"",0))</f>
        <v>Y's</v>
      </c>
      <c r="D10" s="32"/>
      <c r="E10" s="28" t="str">
        <f t="shared" si="1"/>
        <v>Boxed</v>
      </c>
      <c r="F10" s="40" t="s">
        <v>39</v>
      </c>
      <c r="G10" s="41">
        <v>0.0</v>
      </c>
      <c r="H10" s="41">
        <v>5.0</v>
      </c>
      <c r="I10" s="42">
        <v>1988.0</v>
      </c>
      <c r="J10" s="41" t="s">
        <v>75</v>
      </c>
      <c r="K10" s="41" t="s">
        <v>76</v>
      </c>
      <c r="L10" s="41" t="s">
        <v>77</v>
      </c>
      <c r="M10" s="28" t="b">
        <v>1</v>
      </c>
      <c r="N10" s="28" t="b">
        <v>1</v>
      </c>
      <c r="O10" s="28" t="b">
        <v>1</v>
      </c>
      <c r="P10" s="42" t="b">
        <v>0</v>
      </c>
      <c r="Q10" s="43" t="s">
        <v>47</v>
      </c>
      <c r="R10" s="21"/>
      <c r="S10" s="21"/>
      <c r="T10" s="21"/>
      <c r="U10" s="38"/>
      <c r="Z10" s="44" t="s">
        <v>113</v>
      </c>
      <c r="AA10" s="20" t="str">
        <f>IFERROR(__xludf.DUMMYFUNCTION("COUNTUNIQUE(FILTER(A3:A296, F3:F296=""GP"", E3:E296&lt;&gt;""Não possuo"", A3:A296&lt;&gt;"""")) &amp; ""/"" &amp; COUNTUNIQUE(FILTER(Catalogo_BR!A2:A296, Catalogo_BR!G2:G296=""GP"", Catalogo_BR!A2:A296&lt;&gt;""""))"),"13/15")</f>
        <v>13/15</v>
      </c>
    </row>
    <row r="11" ht="22.5" customHeight="1">
      <c r="A11" s="38" t="s">
        <v>115</v>
      </c>
      <c r="B11" s="32"/>
      <c r="C11" s="32" t="str">
        <f t="array" ref="C11">IF(A11="","",_xlfn.XLOOKUP(A11,Catalogo_BR!$A$2:$A$277,Catalogo_BR!$B$2:$B$277,"",0))</f>
        <v>The Simpsons: Bart vs. The Space Mutants</v>
      </c>
      <c r="D11" s="32"/>
      <c r="E11" s="28" t="str">
        <f t="shared" si="1"/>
        <v>Boxed</v>
      </c>
      <c r="F11" s="40" t="s">
        <v>39</v>
      </c>
      <c r="G11" s="41">
        <v>0.0</v>
      </c>
      <c r="H11" s="41">
        <v>3.0</v>
      </c>
      <c r="I11" s="42">
        <v>1992.0</v>
      </c>
      <c r="J11" s="41" t="s">
        <v>75</v>
      </c>
      <c r="K11" s="41" t="s">
        <v>76</v>
      </c>
      <c r="L11" s="41" t="s">
        <v>77</v>
      </c>
      <c r="M11" s="28" t="b">
        <v>1</v>
      </c>
      <c r="N11" s="28" t="b">
        <v>1</v>
      </c>
      <c r="O11" s="28" t="b">
        <v>1</v>
      </c>
      <c r="P11" s="42" t="b">
        <v>0</v>
      </c>
      <c r="Q11" s="43" t="s">
        <v>47</v>
      </c>
      <c r="R11" s="21"/>
      <c r="S11" s="21"/>
      <c r="T11" s="21"/>
      <c r="U11" s="38"/>
      <c r="Z11" s="44" t="s">
        <v>119</v>
      </c>
      <c r="AA11" s="20" t="str">
        <f>IFERROR(__xludf.DUMMYFUNCTION("COUNTUNIQUE(FILTER(A3:A296, F3:F296=""AB"", E3:E296&lt;&gt;""Não possuo"", A3:A296&lt;&gt;"""")) &amp; ""/"" &amp; COUNTUNIQUE(FILTER(Catalogo_BR!A2:A296, Catalogo_BR!G2:G296=""AB"", Catalogo_BR!A2:A296&lt;&gt;""""))"),"11/56")</f>
        <v>11/56</v>
      </c>
    </row>
    <row r="12" ht="22.5" customHeight="1">
      <c r="A12" s="38" t="s">
        <v>121</v>
      </c>
      <c r="B12" s="32"/>
      <c r="C12" s="32" t="str">
        <f t="array" ref="C12">IF(A12="","",_xlfn.XLOOKUP(A12,Catalogo_BR!$A$2:$A$277,Catalogo_BR!$B$2:$B$277,"",0))</f>
        <v>Rastan</v>
      </c>
      <c r="D12" s="32"/>
      <c r="E12" s="28" t="str">
        <f t="shared" si="1"/>
        <v>Boxed</v>
      </c>
      <c r="F12" s="40" t="s">
        <v>39</v>
      </c>
      <c r="G12" s="41">
        <v>1.0</v>
      </c>
      <c r="H12" s="41">
        <v>4.0</v>
      </c>
      <c r="I12" s="42">
        <v>1989.0</v>
      </c>
      <c r="J12" s="41" t="s">
        <v>127</v>
      </c>
      <c r="K12" s="41" t="s">
        <v>76</v>
      </c>
      <c r="L12" s="41" t="s">
        <v>77</v>
      </c>
      <c r="M12" s="28" t="b">
        <v>1</v>
      </c>
      <c r="N12" s="28" t="b">
        <v>1</v>
      </c>
      <c r="O12" s="28" t="b">
        <v>1</v>
      </c>
      <c r="P12" s="42" t="b">
        <v>0</v>
      </c>
      <c r="Q12" s="43" t="s">
        <v>47</v>
      </c>
      <c r="R12" s="21"/>
      <c r="S12" s="21"/>
      <c r="T12" s="21"/>
      <c r="U12" s="38"/>
      <c r="Z12" s="44" t="s">
        <v>130</v>
      </c>
      <c r="AA12" s="20" t="str">
        <f>IFERROR(__xludf.DUMMYFUNCTION("COUNTUNIQUE(FILTER(A3:A296, F3:F296=""AZ"", E3:E296&lt;&gt;""Não possuo"", A3:A296&lt;&gt;"""")) &amp; ""/"" &amp; COUNTUNIQUE(FILTER(Catalogo_BR!A2:A296, Catalogo_BR!G2:G296=""AZ"", Catalogo_BR!A2:A296&lt;&gt;""""))"),"4/35")</f>
        <v>4/35</v>
      </c>
    </row>
    <row r="13" ht="22.5" customHeight="1">
      <c r="A13" s="38" t="s">
        <v>135</v>
      </c>
      <c r="B13" s="32"/>
      <c r="C13" s="32" t="str">
        <f t="array" ref="C13">IF(A13="","",_xlfn.XLOOKUP(A13,Catalogo_BR!$A$2:$A$277,Catalogo_BR!$B$2:$B$277,"",0))</f>
        <v>Miracle Warriors</v>
      </c>
      <c r="D13" s="32"/>
      <c r="E13" s="28" t="str">
        <f t="shared" si="1"/>
        <v>Boxed</v>
      </c>
      <c r="F13" s="40" t="s">
        <v>39</v>
      </c>
      <c r="G13" s="41">
        <v>3.0</v>
      </c>
      <c r="H13" s="41">
        <v>5.0</v>
      </c>
      <c r="I13" s="42">
        <v>1987.0</v>
      </c>
      <c r="J13" s="41" t="s">
        <v>75</v>
      </c>
      <c r="K13" s="41" t="s">
        <v>76</v>
      </c>
      <c r="L13" s="41" t="s">
        <v>77</v>
      </c>
      <c r="M13" s="28" t="b">
        <v>1</v>
      </c>
      <c r="N13" s="28" t="b">
        <v>1</v>
      </c>
      <c r="O13" s="28" t="b">
        <v>1</v>
      </c>
      <c r="P13" s="42" t="b">
        <v>0</v>
      </c>
      <c r="Q13" s="43" t="s">
        <v>47</v>
      </c>
      <c r="R13" s="21"/>
      <c r="S13" s="21"/>
      <c r="T13" s="21"/>
      <c r="U13" s="38"/>
      <c r="AA13" s="20"/>
    </row>
    <row r="14" ht="22.5" customHeight="1">
      <c r="A14" s="38" t="s">
        <v>133</v>
      </c>
      <c r="B14" s="32"/>
      <c r="C14" s="32" t="str">
        <f t="array" ref="C14">IF(A14="","",_xlfn.XLOOKUP(A14,Catalogo_BR!$A$2:$A$277,Catalogo_BR!$B$2:$B$277,"",0))</f>
        <v>Bank Panic</v>
      </c>
      <c r="D14" s="32"/>
      <c r="E14" s="28" t="str">
        <f t="shared" si="1"/>
        <v>CIB</v>
      </c>
      <c r="F14" s="40" t="s">
        <v>39</v>
      </c>
      <c r="G14" s="41">
        <v>0.0</v>
      </c>
      <c r="H14" s="41">
        <v>3.0</v>
      </c>
      <c r="I14" s="42">
        <v>1987.0</v>
      </c>
      <c r="J14" s="41" t="s">
        <v>75</v>
      </c>
      <c r="K14" s="41" t="s">
        <v>76</v>
      </c>
      <c r="L14" s="41" t="s">
        <v>77</v>
      </c>
      <c r="M14" s="28" t="b">
        <v>1</v>
      </c>
      <c r="N14" s="28" t="b">
        <v>1</v>
      </c>
      <c r="O14" s="28" t="b">
        <v>1</v>
      </c>
      <c r="P14" s="42" t="b">
        <v>1</v>
      </c>
      <c r="Q14" s="43" t="s">
        <v>47</v>
      </c>
      <c r="R14" s="21"/>
      <c r="S14" s="21"/>
      <c r="T14" s="21"/>
      <c r="U14" s="38"/>
      <c r="AA14" s="20"/>
    </row>
    <row r="15" ht="22.5" customHeight="1">
      <c r="A15" s="38" t="s">
        <v>154</v>
      </c>
      <c r="B15" s="32"/>
      <c r="C15" s="32" t="str">
        <f t="array" ref="C15">IF(A15="","",_xlfn.XLOOKUP(A15,Catalogo_BR!$A$2:$A$277,Catalogo_BR!$B$2:$B$277,"",0))</f>
        <v>Danan</v>
      </c>
      <c r="D15" s="32"/>
      <c r="E15" s="28" t="str">
        <f t="shared" si="1"/>
        <v>CIB</v>
      </c>
      <c r="F15" s="40" t="s">
        <v>39</v>
      </c>
      <c r="G15" s="41">
        <v>0.0</v>
      </c>
      <c r="H15" s="41">
        <v>4.0</v>
      </c>
      <c r="I15" s="42">
        <v>1991.0</v>
      </c>
      <c r="J15" s="41" t="s">
        <v>75</v>
      </c>
      <c r="K15" s="41" t="s">
        <v>76</v>
      </c>
      <c r="L15" s="41" t="s">
        <v>77</v>
      </c>
      <c r="M15" s="28" t="b">
        <v>1</v>
      </c>
      <c r="N15" s="28" t="b">
        <v>1</v>
      </c>
      <c r="O15" s="28" t="b">
        <v>1</v>
      </c>
      <c r="P15" s="42" t="b">
        <v>1</v>
      </c>
      <c r="Q15" s="43" t="s">
        <v>47</v>
      </c>
      <c r="R15" s="21"/>
      <c r="S15" s="21"/>
      <c r="T15" s="21"/>
      <c r="U15" s="38"/>
      <c r="AA15" s="20"/>
    </row>
    <row r="16" ht="22.5" customHeight="1">
      <c r="A16" s="38" t="s">
        <v>162</v>
      </c>
      <c r="B16" s="32"/>
      <c r="C16" s="32" t="str">
        <f t="array" ref="C16">IF(A16="","",_xlfn.XLOOKUP(A16,Catalogo_BR!$A$2:$A$277,Catalogo_BR!$B$2:$B$277,"",0))</f>
        <v>Scramble Spirits</v>
      </c>
      <c r="D16" s="32"/>
      <c r="E16" s="28" t="str">
        <f t="shared" si="1"/>
        <v>CIB</v>
      </c>
      <c r="F16" s="40" t="s">
        <v>39</v>
      </c>
      <c r="G16" s="41">
        <v>0.0</v>
      </c>
      <c r="H16" s="41">
        <v>3.0</v>
      </c>
      <c r="I16" s="42">
        <v>1989.0</v>
      </c>
      <c r="J16" s="41" t="s">
        <v>75</v>
      </c>
      <c r="K16" s="41" t="s">
        <v>76</v>
      </c>
      <c r="L16" s="41" t="s">
        <v>77</v>
      </c>
      <c r="M16" s="28" t="b">
        <v>1</v>
      </c>
      <c r="N16" s="28" t="b">
        <v>1</v>
      </c>
      <c r="O16" s="28" t="b">
        <v>1</v>
      </c>
      <c r="P16" s="42" t="b">
        <v>1</v>
      </c>
      <c r="Q16" s="43" t="s">
        <v>47</v>
      </c>
      <c r="R16" s="21"/>
      <c r="S16" s="21"/>
      <c r="T16" s="21"/>
      <c r="U16" s="38"/>
      <c r="AA16" s="20"/>
    </row>
    <row r="17" ht="22.5" customHeight="1">
      <c r="A17" s="38" t="s">
        <v>168</v>
      </c>
      <c r="B17" s="32"/>
      <c r="C17" s="32" t="str">
        <f t="array" ref="C17">IF(A17="","",_xlfn.XLOOKUP(A17,Catalogo_BR!$A$2:$A$277,Catalogo_BR!$B$2:$B$277,"",0))</f>
        <v>Ninja Gaiden</v>
      </c>
      <c r="D17" s="32"/>
      <c r="E17" s="28" t="str">
        <f t="shared" si="1"/>
        <v>CIB</v>
      </c>
      <c r="F17" s="40" t="s">
        <v>39</v>
      </c>
      <c r="G17" s="41">
        <v>0.0</v>
      </c>
      <c r="H17" s="41">
        <v>5.0</v>
      </c>
      <c r="I17" s="42">
        <v>1992.0</v>
      </c>
      <c r="J17" s="41" t="s">
        <v>75</v>
      </c>
      <c r="K17" s="41" t="s">
        <v>76</v>
      </c>
      <c r="L17" s="41" t="s">
        <v>77</v>
      </c>
      <c r="M17" s="28" t="b">
        <v>1</v>
      </c>
      <c r="N17" s="28" t="b">
        <v>1</v>
      </c>
      <c r="O17" s="28" t="b">
        <v>1</v>
      </c>
      <c r="P17" s="42" t="b">
        <v>1</v>
      </c>
      <c r="Q17" s="43" t="s">
        <v>47</v>
      </c>
      <c r="R17" s="21"/>
      <c r="S17" s="21"/>
      <c r="T17" s="21"/>
      <c r="U17" s="38"/>
      <c r="AA17" s="20"/>
    </row>
    <row r="18" ht="22.5" customHeight="1">
      <c r="A18" s="38" t="s">
        <v>176</v>
      </c>
      <c r="B18" s="32"/>
      <c r="C18" s="32" t="str">
        <f t="array" ref="C18">IF(A18="","",_xlfn.XLOOKUP(A18,Catalogo_BR!$A$2:$A$277,Catalogo_BR!$B$2:$B$277,"",0))</f>
        <v>Phantasy Star</v>
      </c>
      <c r="D18" s="32"/>
      <c r="E18" s="28" t="str">
        <f t="shared" si="1"/>
        <v>CIB</v>
      </c>
      <c r="F18" s="40" t="s">
        <v>39</v>
      </c>
      <c r="G18" s="41">
        <v>0.0</v>
      </c>
      <c r="H18" s="41">
        <v>5.0</v>
      </c>
      <c r="I18" s="42">
        <v>1987.0</v>
      </c>
      <c r="J18" s="41" t="s">
        <v>75</v>
      </c>
      <c r="K18" s="41" t="s">
        <v>76</v>
      </c>
      <c r="L18" s="41" t="s">
        <v>77</v>
      </c>
      <c r="M18" s="28" t="b">
        <v>1</v>
      </c>
      <c r="N18" s="28" t="b">
        <v>1</v>
      </c>
      <c r="O18" s="28" t="b">
        <v>1</v>
      </c>
      <c r="P18" s="42" t="b">
        <v>1</v>
      </c>
      <c r="Q18" s="43" t="s">
        <v>47</v>
      </c>
      <c r="R18" s="21"/>
      <c r="S18" s="21"/>
      <c r="T18" s="21"/>
      <c r="U18" s="38"/>
      <c r="AA18" s="20"/>
    </row>
    <row r="19" ht="22.5" customHeight="1">
      <c r="A19" s="38" t="s">
        <v>136</v>
      </c>
      <c r="B19" s="32"/>
      <c r="C19" s="32" t="str">
        <f t="array" ref="C19">IF(A19="","",_xlfn.XLOOKUP(A19,Catalogo_BR!$A$2:$A$277,Catalogo_BR!$B$2:$B$277,"",0))</f>
        <v>Basketball Nightmare</v>
      </c>
      <c r="D19" s="32"/>
      <c r="E19" s="28" t="str">
        <f t="shared" si="1"/>
        <v>CIB</v>
      </c>
      <c r="F19" s="40" t="s">
        <v>39</v>
      </c>
      <c r="G19" s="41">
        <v>0.0</v>
      </c>
      <c r="H19" s="41">
        <v>4.0</v>
      </c>
      <c r="I19" s="42">
        <v>1989.0</v>
      </c>
      <c r="J19" s="41" t="s">
        <v>75</v>
      </c>
      <c r="K19" s="41" t="s">
        <v>76</v>
      </c>
      <c r="L19" s="41" t="s">
        <v>77</v>
      </c>
      <c r="M19" s="28" t="b">
        <v>1</v>
      </c>
      <c r="N19" s="28" t="b">
        <v>1</v>
      </c>
      <c r="O19" s="28" t="b">
        <v>1</v>
      </c>
      <c r="P19" s="42" t="b">
        <v>1</v>
      </c>
      <c r="Q19" s="43" t="s">
        <v>47</v>
      </c>
      <c r="R19" s="21"/>
      <c r="S19" s="21"/>
      <c r="T19" s="21"/>
      <c r="U19" s="38"/>
      <c r="AA19" s="20"/>
    </row>
    <row r="20" ht="22.5" customHeight="1">
      <c r="A20" s="38" t="s">
        <v>192</v>
      </c>
      <c r="B20" s="32"/>
      <c r="C20" s="32" t="str">
        <f t="array" ref="C20">IF(A20="","",_xlfn.XLOOKUP(A20,Catalogo_BR!$A$2:$A$277,Catalogo_BR!$B$2:$B$277,"",0))</f>
        <v>Dick Tracy</v>
      </c>
      <c r="D20" s="32"/>
      <c r="E20" s="28" t="str">
        <f t="shared" si="1"/>
        <v>CIB</v>
      </c>
      <c r="F20" s="40" t="s">
        <v>39</v>
      </c>
      <c r="G20" s="41">
        <v>0.0</v>
      </c>
      <c r="H20" s="41">
        <v>3.0</v>
      </c>
      <c r="I20" s="42">
        <v>1991.0</v>
      </c>
      <c r="J20" s="41" t="s">
        <v>75</v>
      </c>
      <c r="K20" s="41" t="s">
        <v>76</v>
      </c>
      <c r="L20" s="41" t="s">
        <v>77</v>
      </c>
      <c r="M20" s="28" t="b">
        <v>1</v>
      </c>
      <c r="N20" s="28" t="b">
        <v>1</v>
      </c>
      <c r="O20" s="28" t="b">
        <v>1</v>
      </c>
      <c r="P20" s="42" t="b">
        <v>1</v>
      </c>
      <c r="Q20" s="43" t="s">
        <v>47</v>
      </c>
      <c r="R20" s="21"/>
      <c r="S20" s="21"/>
      <c r="T20" s="21"/>
      <c r="U20" s="38"/>
      <c r="AA20" s="20"/>
    </row>
    <row r="21" ht="22.5" customHeight="1">
      <c r="A21" s="38" t="s">
        <v>177</v>
      </c>
      <c r="B21" s="32"/>
      <c r="C21" s="32" t="str">
        <f t="array" ref="C21">IF(A21="","",_xlfn.XLOOKUP(A21,Catalogo_BR!$A$2:$A$277,Catalogo_BR!$B$2:$B$277,"",0))</f>
        <v>Cloud Master</v>
      </c>
      <c r="D21" s="32"/>
      <c r="E21" s="28" t="str">
        <f t="shared" si="1"/>
        <v>CIB</v>
      </c>
      <c r="F21" s="40" t="s">
        <v>53</v>
      </c>
      <c r="G21" s="41">
        <v>0.0</v>
      </c>
      <c r="H21" s="41">
        <v>4.0</v>
      </c>
      <c r="I21" s="42">
        <v>1989.0</v>
      </c>
      <c r="J21" s="41" t="s">
        <v>75</v>
      </c>
      <c r="K21" s="41" t="s">
        <v>76</v>
      </c>
      <c r="L21" s="41" t="s">
        <v>77</v>
      </c>
      <c r="M21" s="28" t="b">
        <v>1</v>
      </c>
      <c r="N21" s="28" t="b">
        <v>1</v>
      </c>
      <c r="O21" s="28" t="b">
        <v>1</v>
      </c>
      <c r="P21" s="42" t="b">
        <v>1</v>
      </c>
      <c r="Q21" s="43" t="s">
        <v>47</v>
      </c>
      <c r="R21" s="21"/>
      <c r="S21" s="21"/>
      <c r="T21" s="21"/>
      <c r="U21" s="38"/>
      <c r="AA21" s="20"/>
    </row>
    <row r="22" ht="22.5" customHeight="1">
      <c r="A22" s="38" t="s">
        <v>207</v>
      </c>
      <c r="B22" s="32"/>
      <c r="C22" s="32" t="str">
        <f t="array" ref="C22">IF(A22="","",_xlfn.XLOOKUP(A22,Catalogo_BR!$A$2:$A$277,Catalogo_BR!$B$2:$B$277,"",0))</f>
        <v>Street Fighter II</v>
      </c>
      <c r="D22" s="32"/>
      <c r="E22" s="28" t="str">
        <f t="shared" si="1"/>
        <v>CIB</v>
      </c>
      <c r="F22" s="40" t="s">
        <v>89</v>
      </c>
      <c r="G22" s="41">
        <v>0.0</v>
      </c>
      <c r="H22" s="41">
        <v>3.0</v>
      </c>
      <c r="I22" s="42">
        <v>1997.0</v>
      </c>
      <c r="J22" s="41" t="s">
        <v>75</v>
      </c>
      <c r="K22" s="41" t="s">
        <v>76</v>
      </c>
      <c r="L22" s="41" t="s">
        <v>77</v>
      </c>
      <c r="M22" s="28" t="b">
        <v>1</v>
      </c>
      <c r="N22" s="28" t="b">
        <v>1</v>
      </c>
      <c r="O22" s="28" t="b">
        <v>1</v>
      </c>
      <c r="P22" s="42" t="b">
        <v>1</v>
      </c>
      <c r="Q22" s="43" t="s">
        <v>47</v>
      </c>
      <c r="R22" s="21"/>
      <c r="S22" s="21"/>
      <c r="T22" s="21"/>
      <c r="U22" s="38"/>
      <c r="AA22" s="20"/>
    </row>
    <row r="23" ht="22.5" customHeight="1">
      <c r="A23" s="38" t="s">
        <v>215</v>
      </c>
      <c r="B23" s="32"/>
      <c r="C23" s="32" t="str">
        <f t="array" ref="C23">IF(A23="","",_xlfn.XLOOKUP(A23,Catalogo_BR!$A$2:$A$277,Catalogo_BR!$B$2:$B$277,"",0))</f>
        <v>X-Men Mojo World</v>
      </c>
      <c r="D23" s="32"/>
      <c r="E23" s="28" t="str">
        <f t="shared" si="1"/>
        <v>CIB</v>
      </c>
      <c r="F23" s="40" t="s">
        <v>89</v>
      </c>
      <c r="G23" s="41">
        <v>0.0</v>
      </c>
      <c r="H23" s="41">
        <v>3.0</v>
      </c>
      <c r="I23" s="42">
        <v>1996.0</v>
      </c>
      <c r="J23" s="41" t="s">
        <v>75</v>
      </c>
      <c r="K23" s="41" t="s">
        <v>76</v>
      </c>
      <c r="L23" s="41" t="s">
        <v>77</v>
      </c>
      <c r="M23" s="28" t="b">
        <v>1</v>
      </c>
      <c r="N23" s="28" t="b">
        <v>1</v>
      </c>
      <c r="O23" s="28" t="b">
        <v>1</v>
      </c>
      <c r="P23" s="42" t="b">
        <v>1</v>
      </c>
      <c r="Q23" s="43" t="s">
        <v>47</v>
      </c>
      <c r="R23" s="21"/>
      <c r="S23" s="21"/>
      <c r="T23" s="21"/>
      <c r="U23" s="38"/>
      <c r="AA23" s="20"/>
    </row>
    <row r="24" ht="22.5" customHeight="1">
      <c r="A24" s="38" t="s">
        <v>68</v>
      </c>
      <c r="B24" s="32"/>
      <c r="C24" s="32" t="str">
        <f t="array" ref="C24">IF(A24="","",_xlfn.XLOOKUP(A24,Catalogo_BR!$A$2:$A$277,Catalogo_BR!$B$2:$B$277,"",0))</f>
        <v>Alex Kidd in Miracle World</v>
      </c>
      <c r="D24" s="32"/>
      <c r="E24" s="28" t="str">
        <f t="shared" si="1"/>
        <v>Não possuo</v>
      </c>
      <c r="F24" s="40" t="s">
        <v>39</v>
      </c>
      <c r="G24" s="41">
        <v>1.0</v>
      </c>
      <c r="H24" s="41">
        <v>5.0</v>
      </c>
      <c r="I24" s="42">
        <v>1986.0</v>
      </c>
      <c r="J24" s="41" t="s">
        <v>75</v>
      </c>
      <c r="K24" s="41" t="s">
        <v>76</v>
      </c>
      <c r="L24" s="41" t="s">
        <v>77</v>
      </c>
      <c r="M24" s="28" t="b">
        <v>0</v>
      </c>
      <c r="N24" s="28" t="b">
        <v>0</v>
      </c>
      <c r="O24" s="28" t="b">
        <v>0</v>
      </c>
      <c r="P24" s="42" t="b">
        <v>0</v>
      </c>
      <c r="Q24" s="43" t="s">
        <v>47</v>
      </c>
      <c r="R24" s="21"/>
      <c r="S24" s="21"/>
      <c r="T24" s="21"/>
      <c r="U24" s="38"/>
      <c r="AA24" s="20"/>
    </row>
    <row r="25" ht="22.5" customHeight="1">
      <c r="A25" s="38" t="s">
        <v>228</v>
      </c>
      <c r="B25" s="32"/>
      <c r="C25" s="32" t="str">
        <f t="array" ref="C25">IF(A25="","",_xlfn.XLOOKUP(A25,Catalogo_BR!$A$2:$A$277,Catalogo_BR!$B$2:$B$277,"",0))</f>
        <v>Psycho Fox</v>
      </c>
      <c r="D25" s="32"/>
      <c r="E25" s="28" t="str">
        <f t="shared" si="1"/>
        <v>Não possuo</v>
      </c>
      <c r="F25" s="40" t="s">
        <v>39</v>
      </c>
      <c r="G25" s="41">
        <v>1.0</v>
      </c>
      <c r="H25" s="41">
        <v>4.0</v>
      </c>
      <c r="I25" s="42">
        <v>1989.0</v>
      </c>
      <c r="J25" s="41" t="s">
        <v>75</v>
      </c>
      <c r="K25" s="41" t="s">
        <v>76</v>
      </c>
      <c r="L25" s="41" t="s">
        <v>77</v>
      </c>
      <c r="M25" s="28" t="b">
        <v>0</v>
      </c>
      <c r="N25" s="28" t="b">
        <v>0</v>
      </c>
      <c r="O25" s="28" t="b">
        <v>0</v>
      </c>
      <c r="P25" s="42" t="b">
        <v>0</v>
      </c>
      <c r="Q25" s="43" t="s">
        <v>47</v>
      </c>
      <c r="R25" s="21"/>
      <c r="S25" s="21"/>
      <c r="T25" s="21"/>
      <c r="U25" s="38"/>
      <c r="AA25" s="20"/>
    </row>
    <row r="26" ht="22.5" customHeight="1">
      <c r="A26" s="38" t="s">
        <v>235</v>
      </c>
      <c r="B26" s="32"/>
      <c r="C26" s="32" t="str">
        <f t="array" ref="C26">IF(A26="","",_xlfn.XLOOKUP(A26,Catalogo_BR!$A$2:$A$277,Catalogo_BR!$B$2:$B$277,"",0))</f>
        <v>Rampage</v>
      </c>
      <c r="D26" s="32"/>
      <c r="E26" s="28" t="str">
        <f t="shared" si="1"/>
        <v>Não possuo</v>
      </c>
      <c r="F26" s="40" t="s">
        <v>39</v>
      </c>
      <c r="G26" s="41">
        <v>1.0</v>
      </c>
      <c r="H26" s="41">
        <v>3.0</v>
      </c>
      <c r="I26" s="42">
        <v>1988.0</v>
      </c>
      <c r="J26" s="41" t="s">
        <v>75</v>
      </c>
      <c r="K26" s="41" t="s">
        <v>76</v>
      </c>
      <c r="L26" s="41" t="s">
        <v>77</v>
      </c>
      <c r="M26" s="28" t="b">
        <v>0</v>
      </c>
      <c r="N26" s="28" t="b">
        <v>0</v>
      </c>
      <c r="O26" s="28" t="b">
        <v>0</v>
      </c>
      <c r="P26" s="42" t="b">
        <v>0</v>
      </c>
      <c r="Q26" s="43" t="s">
        <v>47</v>
      </c>
      <c r="R26" s="21"/>
      <c r="S26" s="21"/>
      <c r="T26" s="21"/>
      <c r="U26" s="38"/>
      <c r="AA26" s="20"/>
    </row>
    <row r="27" ht="22.5" customHeight="1">
      <c r="A27" s="38" t="s">
        <v>208</v>
      </c>
      <c r="B27" s="32"/>
      <c r="C27" s="32" t="str">
        <f t="array" ref="C27">IF(A27="","",_xlfn.XLOOKUP(A27,Catalogo_BR!$A$2:$A$277,Catalogo_BR!$B$2:$B$277,"",0))</f>
        <v>Dragon Maze</v>
      </c>
      <c r="D27" s="32"/>
      <c r="E27" s="28" t="str">
        <f t="shared" si="1"/>
        <v>Não possuo</v>
      </c>
      <c r="F27" s="40" t="s">
        <v>39</v>
      </c>
      <c r="G27" s="41">
        <v>1.0</v>
      </c>
      <c r="H27" s="41">
        <v>5.0</v>
      </c>
      <c r="I27" s="42">
        <v>1988.0</v>
      </c>
      <c r="J27" s="41" t="s">
        <v>75</v>
      </c>
      <c r="K27" s="41" t="s">
        <v>76</v>
      </c>
      <c r="L27" s="41" t="s">
        <v>246</v>
      </c>
      <c r="M27" s="28" t="b">
        <v>0</v>
      </c>
      <c r="N27" s="28" t="b">
        <v>0</v>
      </c>
      <c r="O27" s="28" t="b">
        <v>0</v>
      </c>
      <c r="P27" s="42" t="b">
        <v>0</v>
      </c>
      <c r="Q27" s="43" t="s">
        <v>47</v>
      </c>
      <c r="R27" s="21"/>
      <c r="S27" s="21"/>
      <c r="T27" s="21"/>
      <c r="U27" s="38"/>
      <c r="AA27" s="20"/>
    </row>
    <row r="28" ht="22.5" customHeight="1">
      <c r="A28" s="38" t="s">
        <v>72</v>
      </c>
      <c r="B28" s="32"/>
      <c r="C28" s="32" t="str">
        <f t="array" ref="C28">IF(A28="","",_xlfn.XLOOKUP(A28,Catalogo_BR!$A$2:$A$277,Catalogo_BR!$B$2:$B$277,"",0))</f>
        <v>Alex Kidd In Shinobi World</v>
      </c>
      <c r="D28" s="32"/>
      <c r="E28" s="28" t="str">
        <f t="shared" si="1"/>
        <v>Não possuo</v>
      </c>
      <c r="F28" s="40" t="s">
        <v>39</v>
      </c>
      <c r="G28" s="41">
        <v>1.0</v>
      </c>
      <c r="H28" s="41">
        <v>5.0</v>
      </c>
      <c r="I28" s="42">
        <v>1990.0</v>
      </c>
      <c r="J28" s="41" t="s">
        <v>75</v>
      </c>
      <c r="K28" s="41" t="s">
        <v>76</v>
      </c>
      <c r="L28" s="41" t="s">
        <v>253</v>
      </c>
      <c r="M28" s="28" t="b">
        <v>0</v>
      </c>
      <c r="N28" s="28" t="b">
        <v>0</v>
      </c>
      <c r="O28" s="28" t="b">
        <v>0</v>
      </c>
      <c r="P28" s="42" t="b">
        <v>0</v>
      </c>
      <c r="Q28" s="43" t="s">
        <v>47</v>
      </c>
      <c r="R28" s="21"/>
      <c r="S28" s="21"/>
      <c r="T28" s="21"/>
      <c r="U28" s="38"/>
      <c r="AA28" s="20"/>
    </row>
    <row r="29" ht="22.5" customHeight="1">
      <c r="A29" s="38" t="s">
        <v>157</v>
      </c>
      <c r="B29" s="32"/>
      <c r="C29" s="32" t="str">
        <f t="array" ref="C29">IF(A29="","",_xlfn.XLOOKUP(A29,Catalogo_BR!$A$2:$A$277,Catalogo_BR!$B$2:$B$277,"",0))</f>
        <v>Castelo Rá-Tim-Bum</v>
      </c>
      <c r="D29" s="32"/>
      <c r="E29" s="28" t="str">
        <f t="shared" si="1"/>
        <v>Não possuo</v>
      </c>
      <c r="F29" s="40" t="s">
        <v>89</v>
      </c>
      <c r="G29" s="41">
        <v>3.0</v>
      </c>
      <c r="H29" s="41">
        <v>1.0</v>
      </c>
      <c r="I29" s="42">
        <v>1997.0</v>
      </c>
      <c r="J29" s="41" t="s">
        <v>75</v>
      </c>
      <c r="K29" s="41" t="s">
        <v>76</v>
      </c>
      <c r="L29" s="41" t="s">
        <v>77</v>
      </c>
      <c r="M29" s="28" t="b">
        <v>0</v>
      </c>
      <c r="N29" s="28" t="b">
        <v>0</v>
      </c>
      <c r="O29" s="28" t="b">
        <v>0</v>
      </c>
      <c r="P29" s="42" t="b">
        <v>0</v>
      </c>
      <c r="Q29" s="43" t="s">
        <v>47</v>
      </c>
      <c r="R29" s="21"/>
      <c r="S29" s="21"/>
      <c r="T29" s="21"/>
      <c r="U29" s="38"/>
      <c r="AA29" s="20"/>
    </row>
    <row r="30" ht="22.5" customHeight="1">
      <c r="A30" s="38" t="s">
        <v>152</v>
      </c>
      <c r="B30" s="32"/>
      <c r="C30" s="32" t="str">
        <f t="array" ref="C30">IF(A30="","",_xlfn.XLOOKUP(A30,Catalogo_BR!$A$2:$A$277,Catalogo_BR!$B$2:$B$277,"",0))</f>
        <v>Buggy Run</v>
      </c>
      <c r="D30" s="32"/>
      <c r="E30" s="28" t="str">
        <f t="shared" si="1"/>
        <v>Não possuo</v>
      </c>
      <c r="F30" s="40" t="s">
        <v>100</v>
      </c>
      <c r="G30" s="41">
        <v>3.0</v>
      </c>
      <c r="H30" s="41">
        <v>3.0</v>
      </c>
      <c r="I30" s="42">
        <v>1993.0</v>
      </c>
      <c r="J30" s="41" t="s">
        <v>75</v>
      </c>
      <c r="K30" s="41" t="s">
        <v>76</v>
      </c>
      <c r="L30" s="41" t="s">
        <v>77</v>
      </c>
      <c r="M30" s="28" t="b">
        <v>0</v>
      </c>
      <c r="N30" s="28" t="b">
        <v>0</v>
      </c>
      <c r="O30" s="28" t="b">
        <v>0</v>
      </c>
      <c r="P30" s="42" t="b">
        <v>0</v>
      </c>
      <c r="Q30" s="43" t="s">
        <v>47</v>
      </c>
      <c r="R30" s="21"/>
      <c r="S30" s="21"/>
      <c r="T30" s="21"/>
      <c r="U30" s="38"/>
      <c r="AA30" s="20"/>
    </row>
    <row r="31" ht="22.5" customHeight="1">
      <c r="A31" s="38" t="s">
        <v>198</v>
      </c>
      <c r="B31" s="32"/>
      <c r="C31" s="32" t="str">
        <f t="array" ref="C31">IF(A31="","",_xlfn.XLOOKUP(A31,Catalogo_BR!$A$2:$A$277,Catalogo_BR!$B$2:$B$277,"",0))</f>
        <v>Disney's Bonkers Wax Up!</v>
      </c>
      <c r="D31" s="32"/>
      <c r="E31" s="28" t="str">
        <f t="shared" si="1"/>
        <v>Não possuo</v>
      </c>
      <c r="F31" s="40" t="s">
        <v>89</v>
      </c>
      <c r="G31" s="41">
        <v>3.0</v>
      </c>
      <c r="H31" s="41">
        <v>2.0</v>
      </c>
      <c r="I31" s="42">
        <v>1995.0</v>
      </c>
      <c r="J31" s="41" t="s">
        <v>75</v>
      </c>
      <c r="K31" s="41" t="s">
        <v>76</v>
      </c>
      <c r="L31" s="41" t="s">
        <v>77</v>
      </c>
      <c r="M31" s="28" t="b">
        <v>0</v>
      </c>
      <c r="N31" s="28" t="b">
        <v>0</v>
      </c>
      <c r="O31" s="28" t="b">
        <v>0</v>
      </c>
      <c r="P31" s="42" t="b">
        <v>0</v>
      </c>
      <c r="Q31" s="43" t="s">
        <v>47</v>
      </c>
      <c r="R31" s="21"/>
      <c r="S31" s="21"/>
      <c r="T31" s="21"/>
      <c r="U31" s="38"/>
      <c r="AA31" s="20"/>
    </row>
    <row r="32" ht="22.5" customHeight="1">
      <c r="A32" s="38" t="s">
        <v>220</v>
      </c>
      <c r="B32" s="32"/>
      <c r="C32" s="32" t="str">
        <f t="array" ref="C32">IF(A32="","",_xlfn.XLOOKUP(A32,Catalogo_BR!$A$2:$A$277,Catalogo_BR!$B$2:$B$277,"",0))</f>
        <v>Earthworm Jim</v>
      </c>
      <c r="D32" s="32"/>
      <c r="E32" s="28" t="str">
        <f t="shared" si="1"/>
        <v>Não possuo</v>
      </c>
      <c r="F32" s="40" t="s">
        <v>89</v>
      </c>
      <c r="G32" s="41">
        <v>3.0</v>
      </c>
      <c r="H32" s="41">
        <v>3.0</v>
      </c>
      <c r="I32" s="42">
        <v>1997.0</v>
      </c>
      <c r="J32" s="41" t="s">
        <v>75</v>
      </c>
      <c r="K32" s="41" t="s">
        <v>76</v>
      </c>
      <c r="L32" s="41" t="s">
        <v>77</v>
      </c>
      <c r="M32" s="28" t="b">
        <v>0</v>
      </c>
      <c r="N32" s="28" t="b">
        <v>0</v>
      </c>
      <c r="O32" s="28" t="b">
        <v>0</v>
      </c>
      <c r="P32" s="42" t="b">
        <v>0</v>
      </c>
      <c r="Q32" s="43" t="s">
        <v>47</v>
      </c>
      <c r="R32" s="21"/>
      <c r="S32" s="21"/>
      <c r="T32" s="21"/>
      <c r="U32" s="38"/>
      <c r="AA32" s="20"/>
    </row>
    <row r="33" ht="22.5" customHeight="1">
      <c r="A33" s="38" t="s">
        <v>280</v>
      </c>
      <c r="B33" s="32"/>
      <c r="C33" s="32" t="str">
        <f t="array" ref="C33">IF(A33="","",_xlfn.XLOOKUP(A33,Catalogo_BR!$A$2:$A$277,Catalogo_BR!$B$2:$B$277,"",0))</f>
        <v>Masters of Combat</v>
      </c>
      <c r="D33" s="32"/>
      <c r="E33" s="28" t="str">
        <f t="shared" si="1"/>
        <v>Não possuo</v>
      </c>
      <c r="F33" s="40" t="s">
        <v>100</v>
      </c>
      <c r="G33" s="41">
        <v>3.0</v>
      </c>
      <c r="H33" s="41">
        <v>3.0</v>
      </c>
      <c r="I33" s="42">
        <v>1993.0</v>
      </c>
      <c r="J33" s="41" t="s">
        <v>75</v>
      </c>
      <c r="K33" s="41" t="s">
        <v>76</v>
      </c>
      <c r="L33" s="41" t="s">
        <v>77</v>
      </c>
      <c r="M33" s="28" t="b">
        <v>0</v>
      </c>
      <c r="N33" s="28" t="b">
        <v>0</v>
      </c>
      <c r="O33" s="28" t="b">
        <v>0</v>
      </c>
      <c r="P33" s="42" t="b">
        <v>0</v>
      </c>
      <c r="Q33" s="43" t="s">
        <v>47</v>
      </c>
      <c r="R33" s="21"/>
      <c r="S33" s="21"/>
      <c r="T33" s="21"/>
      <c r="U33" s="38"/>
      <c r="AA33" s="20"/>
    </row>
    <row r="34" ht="22.5" customHeight="1">
      <c r="A34" s="38" t="s">
        <v>286</v>
      </c>
      <c r="B34" s="32"/>
      <c r="C34" s="32" t="str">
        <f t="array" ref="C34">IF(A34="","",_xlfn.XLOOKUP(A34,Catalogo_BR!$A$2:$A$277,Catalogo_BR!$B$2:$B$277,"",0))</f>
        <v>Phantasy Star</v>
      </c>
      <c r="D34" s="32"/>
      <c r="E34" s="28" t="str">
        <f t="shared" si="1"/>
        <v>Não possuo</v>
      </c>
      <c r="F34" s="40" t="s">
        <v>89</v>
      </c>
      <c r="G34" s="41">
        <v>3.0</v>
      </c>
      <c r="H34" s="41">
        <v>5.0</v>
      </c>
      <c r="I34" s="42">
        <v>1987.0</v>
      </c>
      <c r="J34" s="41" t="s">
        <v>75</v>
      </c>
      <c r="K34" s="41" t="s">
        <v>76</v>
      </c>
      <c r="L34" s="41" t="s">
        <v>77</v>
      </c>
      <c r="M34" s="28" t="b">
        <v>0</v>
      </c>
      <c r="N34" s="28" t="b">
        <v>0</v>
      </c>
      <c r="O34" s="28" t="b">
        <v>0</v>
      </c>
      <c r="P34" s="42" t="b">
        <v>0</v>
      </c>
      <c r="Q34" s="43" t="s">
        <v>47</v>
      </c>
      <c r="R34" s="21"/>
      <c r="S34" s="21"/>
      <c r="T34" s="21"/>
      <c r="U34" s="38" t="s">
        <v>290</v>
      </c>
      <c r="AA34" s="20"/>
    </row>
    <row r="35" ht="22.5" customHeight="1">
      <c r="A35" s="38" t="s">
        <v>293</v>
      </c>
      <c r="B35" s="32"/>
      <c r="C35" s="32" t="str">
        <f t="array" ref="C35">IF(A35="","",_xlfn.XLOOKUP(A35,Catalogo_BR!$A$2:$A$277,Catalogo_BR!$B$2:$B$277,"",0))</f>
        <v>Road Rash</v>
      </c>
      <c r="D35" s="32"/>
      <c r="E35" s="28" t="str">
        <f t="shared" si="1"/>
        <v>Não possuo</v>
      </c>
      <c r="F35" s="40" t="s">
        <v>100</v>
      </c>
      <c r="G35" s="41">
        <v>3.0</v>
      </c>
      <c r="H35" s="41">
        <v>3.0</v>
      </c>
      <c r="I35" s="42">
        <v>1994.0</v>
      </c>
      <c r="J35" s="41" t="s">
        <v>75</v>
      </c>
      <c r="K35" s="41" t="s">
        <v>76</v>
      </c>
      <c r="L35" s="41" t="s">
        <v>77</v>
      </c>
      <c r="M35" s="28" t="b">
        <v>0</v>
      </c>
      <c r="N35" s="28" t="b">
        <v>0</v>
      </c>
      <c r="O35" s="28" t="b">
        <v>0</v>
      </c>
      <c r="P35" s="42" t="b">
        <v>0</v>
      </c>
      <c r="Q35" s="43" t="s">
        <v>47</v>
      </c>
      <c r="R35" s="21"/>
      <c r="S35" s="21"/>
      <c r="T35" s="21"/>
      <c r="U35" s="38"/>
      <c r="AA35" s="20"/>
    </row>
    <row r="36" ht="22.5" customHeight="1">
      <c r="A36" s="38" t="s">
        <v>299</v>
      </c>
      <c r="B36" s="32"/>
      <c r="C36" s="32" t="str">
        <f t="array" ref="C36">IF(A36="","",_xlfn.XLOOKUP(A36,Catalogo_BR!$A$2:$A$277,Catalogo_BR!$B$2:$B$277,"",0))</f>
        <v>Sítio do Picapau Amarelo</v>
      </c>
      <c r="D36" s="32"/>
      <c r="E36" s="28" t="str">
        <f t="shared" si="1"/>
        <v>Não possuo</v>
      </c>
      <c r="F36" s="40" t="s">
        <v>89</v>
      </c>
      <c r="G36" s="41">
        <v>3.0</v>
      </c>
      <c r="H36" s="41">
        <v>1.0</v>
      </c>
      <c r="I36" s="42">
        <v>1998.0</v>
      </c>
      <c r="J36" s="41" t="s">
        <v>75</v>
      </c>
      <c r="K36" s="41" t="s">
        <v>76</v>
      </c>
      <c r="L36" s="41" t="s">
        <v>77</v>
      </c>
      <c r="M36" s="28" t="b">
        <v>0</v>
      </c>
      <c r="N36" s="28" t="b">
        <v>0</v>
      </c>
      <c r="O36" s="28" t="b">
        <v>0</v>
      </c>
      <c r="P36" s="42" t="b">
        <v>0</v>
      </c>
      <c r="Q36" s="43" t="s">
        <v>47</v>
      </c>
      <c r="R36" s="21"/>
      <c r="S36" s="21"/>
      <c r="T36" s="21"/>
      <c r="U36" s="38"/>
      <c r="AA36" s="20"/>
    </row>
    <row r="37" ht="22.5" customHeight="1">
      <c r="A37" s="38" t="s">
        <v>305</v>
      </c>
      <c r="B37" s="32"/>
      <c r="C37" s="32" t="str">
        <f t="array" ref="C37">IF(A37="","",_xlfn.XLOOKUP(A37,Catalogo_BR!$A$2:$A$277,Catalogo_BR!$B$2:$B$277,"",0))</f>
        <v>Virtua Fighter Animation</v>
      </c>
      <c r="D37" s="32"/>
      <c r="E37" s="28" t="str">
        <f t="shared" si="1"/>
        <v>Não possuo</v>
      </c>
      <c r="F37" s="40" t="s">
        <v>89</v>
      </c>
      <c r="G37" s="41">
        <v>3.0</v>
      </c>
      <c r="H37" s="41">
        <v>2.0</v>
      </c>
      <c r="I37" s="42">
        <v>1997.0</v>
      </c>
      <c r="J37" s="41" t="s">
        <v>75</v>
      </c>
      <c r="K37" s="41" t="s">
        <v>76</v>
      </c>
      <c r="L37" s="41" t="s">
        <v>77</v>
      </c>
      <c r="M37" s="28" t="b">
        <v>0</v>
      </c>
      <c r="N37" s="28" t="b">
        <v>0</v>
      </c>
      <c r="O37" s="28" t="b">
        <v>0</v>
      </c>
      <c r="P37" s="42" t="b">
        <v>0</v>
      </c>
      <c r="Q37" s="43" t="s">
        <v>47</v>
      </c>
      <c r="R37" s="21"/>
      <c r="S37" s="21"/>
      <c r="T37" s="21"/>
      <c r="U37" s="38"/>
      <c r="AA37" s="20"/>
    </row>
    <row r="38" ht="22.5" customHeight="1">
      <c r="A38" s="38" t="s">
        <v>310</v>
      </c>
      <c r="B38" s="32"/>
      <c r="C38" s="32" t="str">
        <f t="array" ref="C38">IF(A38="","",_xlfn.XLOOKUP(A38,Catalogo_BR!$A$2:$A$277,Catalogo_BR!$B$2:$B$277,"",0))</f>
        <v>Sonic Blast</v>
      </c>
      <c r="D38" s="32"/>
      <c r="E38" s="28" t="str">
        <f t="shared" si="1"/>
        <v>Boxed</v>
      </c>
      <c r="F38" s="40" t="s">
        <v>89</v>
      </c>
      <c r="G38" s="41">
        <v>0.0</v>
      </c>
      <c r="H38" s="41">
        <v>3.0</v>
      </c>
      <c r="I38" s="42">
        <v>1997.0</v>
      </c>
      <c r="J38" s="41" t="s">
        <v>75</v>
      </c>
      <c r="K38" s="41" t="s">
        <v>76</v>
      </c>
      <c r="L38" s="41" t="s">
        <v>246</v>
      </c>
      <c r="M38" s="28" t="b">
        <v>1</v>
      </c>
      <c r="N38" s="28" t="b">
        <v>1</v>
      </c>
      <c r="O38" s="28" t="b">
        <v>1</v>
      </c>
      <c r="P38" s="42" t="b">
        <v>0</v>
      </c>
      <c r="Q38" s="43" t="s">
        <v>47</v>
      </c>
      <c r="R38" s="21"/>
      <c r="S38" s="21"/>
      <c r="T38" s="21"/>
      <c r="U38" s="38"/>
      <c r="AA38" s="20"/>
    </row>
    <row r="39" ht="22.5" customHeight="1">
      <c r="A39" s="38" t="s">
        <v>313</v>
      </c>
      <c r="B39" s="32"/>
      <c r="C39" s="32" t="str">
        <f t="array" ref="C39">IF(A39="","",_xlfn.XLOOKUP(A39,Catalogo_BR!$A$2:$A$277,Catalogo_BR!$B$2:$B$277,"",0))</f>
        <v>Impossible Mission</v>
      </c>
      <c r="D39" s="32"/>
      <c r="E39" s="28" t="str">
        <f t="shared" si="1"/>
        <v>Boxed</v>
      </c>
      <c r="F39" s="40" t="s">
        <v>39</v>
      </c>
      <c r="G39" s="41">
        <v>0.0</v>
      </c>
      <c r="H39" s="41">
        <v>3.0</v>
      </c>
      <c r="I39" s="42">
        <v>1990.0</v>
      </c>
      <c r="J39" s="41" t="s">
        <v>75</v>
      </c>
      <c r="K39" s="41" t="s">
        <v>76</v>
      </c>
      <c r="L39" s="41" t="s">
        <v>246</v>
      </c>
      <c r="M39" s="28" t="b">
        <v>1</v>
      </c>
      <c r="N39" s="28" t="b">
        <v>1</v>
      </c>
      <c r="O39" s="28" t="b">
        <v>1</v>
      </c>
      <c r="P39" s="42" t="b">
        <v>0</v>
      </c>
      <c r="Q39" s="43" t="s">
        <v>47</v>
      </c>
      <c r="R39" s="21"/>
      <c r="S39" s="21"/>
      <c r="T39" s="21"/>
      <c r="U39" s="38"/>
      <c r="AA39" s="20"/>
    </row>
    <row r="40" ht="22.5" customHeight="1">
      <c r="A40" s="38" t="s">
        <v>322</v>
      </c>
      <c r="B40" s="32"/>
      <c r="C40" s="32" t="str">
        <f t="array" ref="C40">IF(A40="","",_xlfn.XLOOKUP(A40,Catalogo_BR!$A$2:$A$277,Catalogo_BR!$B$2:$B$277,"",0))</f>
        <v>Power Strike</v>
      </c>
      <c r="D40" s="32"/>
      <c r="E40" s="28" t="str">
        <f t="shared" si="1"/>
        <v>Boxed</v>
      </c>
      <c r="F40" s="40" t="s">
        <v>39</v>
      </c>
      <c r="G40" s="41">
        <v>0.0</v>
      </c>
      <c r="H40" s="41">
        <v>4.0</v>
      </c>
      <c r="I40" s="42">
        <v>1988.0</v>
      </c>
      <c r="J40" s="41" t="s">
        <v>75</v>
      </c>
      <c r="K40" s="41" t="s">
        <v>76</v>
      </c>
      <c r="L40" s="41" t="s">
        <v>246</v>
      </c>
      <c r="M40" s="28" t="b">
        <v>1</v>
      </c>
      <c r="N40" s="28" t="b">
        <v>1</v>
      </c>
      <c r="O40" s="28" t="b">
        <v>1</v>
      </c>
      <c r="P40" s="42" t="b">
        <v>0</v>
      </c>
      <c r="Q40" s="43" t="s">
        <v>47</v>
      </c>
      <c r="R40" s="21"/>
      <c r="S40" s="21"/>
      <c r="T40" s="21"/>
      <c r="U40" s="38"/>
      <c r="AA40" s="20"/>
    </row>
    <row r="41" ht="22.5" customHeight="1">
      <c r="A41" s="38" t="s">
        <v>48</v>
      </c>
      <c r="B41" s="32"/>
      <c r="C41" s="32" t="str">
        <f t="array" ref="C41">IF(A41="","",_xlfn.XLOOKUP(A41,Catalogo_BR!$A$2:$A$277,Catalogo_BR!$B$2:$B$277,"",0))</f>
        <v>Aerial Assault</v>
      </c>
      <c r="D41" s="32"/>
      <c r="E41" s="28" t="str">
        <f t="shared" si="1"/>
        <v>CIB</v>
      </c>
      <c r="F41" s="40" t="s">
        <v>39</v>
      </c>
      <c r="G41" s="41">
        <v>0.0</v>
      </c>
      <c r="H41" s="41">
        <v>4.0</v>
      </c>
      <c r="I41" s="42">
        <v>1990.0</v>
      </c>
      <c r="J41" s="41" t="s">
        <v>75</v>
      </c>
      <c r="K41" s="41" t="s">
        <v>76</v>
      </c>
      <c r="L41" s="41" t="s">
        <v>246</v>
      </c>
      <c r="M41" s="28" t="b">
        <v>1</v>
      </c>
      <c r="N41" s="28" t="b">
        <v>1</v>
      </c>
      <c r="O41" s="28" t="b">
        <v>1</v>
      </c>
      <c r="P41" s="42" t="b">
        <v>1</v>
      </c>
      <c r="Q41" s="43" t="s">
        <v>47</v>
      </c>
      <c r="R41" s="21"/>
      <c r="S41" s="21"/>
      <c r="T41" s="21"/>
      <c r="U41" s="38"/>
      <c r="AA41" s="20"/>
    </row>
    <row r="42" ht="22.5" customHeight="1">
      <c r="A42" s="38" t="s">
        <v>43</v>
      </c>
      <c r="B42" s="32"/>
      <c r="C42" s="32" t="str">
        <f t="array" ref="C42">IF(A42="","",_xlfn.XLOOKUP(A42,Catalogo_BR!$A$2:$A$277,Catalogo_BR!$B$2:$B$277,"",0))</f>
        <v>Action Fighter</v>
      </c>
      <c r="D42" s="32"/>
      <c r="E42" s="28" t="str">
        <f t="shared" si="1"/>
        <v>CIB</v>
      </c>
      <c r="F42" s="40" t="s">
        <v>39</v>
      </c>
      <c r="G42" s="41">
        <v>0.0</v>
      </c>
      <c r="H42" s="41">
        <v>4.0</v>
      </c>
      <c r="I42" s="42">
        <v>1986.0</v>
      </c>
      <c r="J42" s="41" t="s">
        <v>75</v>
      </c>
      <c r="K42" s="41" t="s">
        <v>76</v>
      </c>
      <c r="L42" s="41" t="s">
        <v>246</v>
      </c>
      <c r="M42" s="28" t="b">
        <v>1</v>
      </c>
      <c r="N42" s="28" t="b">
        <v>1</v>
      </c>
      <c r="O42" s="28" t="b">
        <v>1</v>
      </c>
      <c r="P42" s="42" t="b">
        <v>1</v>
      </c>
      <c r="Q42" s="43" t="s">
        <v>47</v>
      </c>
      <c r="R42" s="21"/>
      <c r="S42" s="21"/>
      <c r="T42" s="21"/>
      <c r="U42" s="38"/>
      <c r="AA42" s="20"/>
    </row>
    <row r="43" ht="22.5" customHeight="1">
      <c r="A43" s="38" t="s">
        <v>291</v>
      </c>
      <c r="B43" s="32"/>
      <c r="C43" s="32" t="str">
        <f t="array" ref="C43">IF(A43="","",_xlfn.XLOOKUP(A43,Catalogo_BR!$A$2:$A$277,Catalogo_BR!$B$2:$B$277,"",0))</f>
        <v>Golden Axe Warrior</v>
      </c>
      <c r="D43" s="32"/>
      <c r="E43" s="28" t="str">
        <f t="shared" si="1"/>
        <v>CIB</v>
      </c>
      <c r="F43" s="40" t="s">
        <v>39</v>
      </c>
      <c r="G43" s="41">
        <v>0.0</v>
      </c>
      <c r="H43" s="41">
        <v>5.0</v>
      </c>
      <c r="I43" s="42">
        <v>1991.0</v>
      </c>
      <c r="J43" s="41" t="s">
        <v>75</v>
      </c>
      <c r="K43" s="41" t="s">
        <v>76</v>
      </c>
      <c r="L43" s="41" t="s">
        <v>246</v>
      </c>
      <c r="M43" s="28" t="b">
        <v>1</v>
      </c>
      <c r="N43" s="28" t="b">
        <v>1</v>
      </c>
      <c r="O43" s="28" t="b">
        <v>1</v>
      </c>
      <c r="P43" s="42" t="b">
        <v>1</v>
      </c>
      <c r="Q43" s="43" t="s">
        <v>47</v>
      </c>
      <c r="R43" s="21"/>
      <c r="S43" s="21"/>
      <c r="T43" s="21"/>
      <c r="U43" s="38"/>
      <c r="AA43" s="20"/>
    </row>
    <row r="44" ht="22.5" customHeight="1">
      <c r="A44" s="38" t="s">
        <v>84</v>
      </c>
      <c r="B44" s="32"/>
      <c r="C44" s="32" t="str">
        <f t="array" ref="C44">IF(A44="","",_xlfn.XLOOKUP(A44,Catalogo_BR!$A$2:$A$277,Catalogo_BR!$B$2:$B$277,"",0))</f>
        <v>Alien Syndrome</v>
      </c>
      <c r="D44" s="32"/>
      <c r="E44" s="28" t="str">
        <f t="shared" si="1"/>
        <v>CIB</v>
      </c>
      <c r="F44" s="40" t="s">
        <v>39</v>
      </c>
      <c r="G44" s="41">
        <v>1.0</v>
      </c>
      <c r="H44" s="41">
        <v>3.0</v>
      </c>
      <c r="I44" s="42">
        <v>1987.0</v>
      </c>
      <c r="J44" s="41" t="s">
        <v>46</v>
      </c>
      <c r="K44" s="41" t="s">
        <v>76</v>
      </c>
      <c r="L44" s="41" t="s">
        <v>246</v>
      </c>
      <c r="M44" s="28" t="b">
        <v>1</v>
      </c>
      <c r="N44" s="28" t="b">
        <v>1</v>
      </c>
      <c r="O44" s="28" t="b">
        <v>1</v>
      </c>
      <c r="P44" s="42" t="b">
        <v>1</v>
      </c>
      <c r="Q44" s="43" t="s">
        <v>47</v>
      </c>
      <c r="R44" s="21"/>
      <c r="S44" s="21"/>
      <c r="T44" s="21"/>
      <c r="U44" s="38"/>
      <c r="AA44" s="20"/>
    </row>
    <row r="45" ht="22.5" customHeight="1">
      <c r="A45" s="38" t="s">
        <v>353</v>
      </c>
      <c r="B45" s="32"/>
      <c r="C45" s="32" t="str">
        <f t="array" ref="C45">IF(A45="","",_xlfn.XLOOKUP(A45,Catalogo_BR!$A$2:$A$277,Catalogo_BR!$B$2:$B$277,"",0))</f>
        <v>SpellCaster</v>
      </c>
      <c r="D45" s="32"/>
      <c r="E45" s="28" t="str">
        <f t="shared" si="1"/>
        <v>CIB</v>
      </c>
      <c r="F45" s="40" t="s">
        <v>39</v>
      </c>
      <c r="G45" s="41">
        <v>0.0</v>
      </c>
      <c r="H45" s="41">
        <v>5.0</v>
      </c>
      <c r="I45" s="42">
        <v>1988.0</v>
      </c>
      <c r="J45" s="41" t="s">
        <v>75</v>
      </c>
      <c r="K45" s="41" t="s">
        <v>76</v>
      </c>
      <c r="L45" s="41" t="s">
        <v>246</v>
      </c>
      <c r="M45" s="28" t="b">
        <v>1</v>
      </c>
      <c r="N45" s="28" t="b">
        <v>1</v>
      </c>
      <c r="O45" s="28" t="b">
        <v>1</v>
      </c>
      <c r="P45" s="42" t="b">
        <v>1</v>
      </c>
      <c r="Q45" s="43" t="s">
        <v>47</v>
      </c>
      <c r="R45" s="21"/>
      <c r="S45" s="21"/>
      <c r="T45" s="21"/>
      <c r="U45" s="38"/>
      <c r="AA45" s="20"/>
    </row>
    <row r="46" ht="22.5" customHeight="1">
      <c r="A46" s="38" t="s">
        <v>84</v>
      </c>
      <c r="B46" s="32"/>
      <c r="C46" s="32" t="str">
        <f t="array" ref="C46">IF(A46="","",_xlfn.XLOOKUP(A46,Catalogo_BR!$A$2:$A$277,Catalogo_BR!$B$2:$B$277,"",0))</f>
        <v>Alien Syndrome</v>
      </c>
      <c r="D46" s="32"/>
      <c r="E46" s="28" t="str">
        <f t="shared" si="1"/>
        <v>Loose</v>
      </c>
      <c r="F46" s="40" t="s">
        <v>39</v>
      </c>
      <c r="G46" s="41">
        <v>0.0</v>
      </c>
      <c r="H46" s="41">
        <v>3.0</v>
      </c>
      <c r="I46" s="42">
        <v>1987.0</v>
      </c>
      <c r="J46" s="41" t="s">
        <v>46</v>
      </c>
      <c r="K46" s="41" t="s">
        <v>76</v>
      </c>
      <c r="L46" s="41" t="s">
        <v>246</v>
      </c>
      <c r="M46" s="28" t="b">
        <v>1</v>
      </c>
      <c r="N46" s="28" t="b">
        <v>0</v>
      </c>
      <c r="O46" s="28" t="b">
        <v>0</v>
      </c>
      <c r="P46" s="42" t="b">
        <v>0</v>
      </c>
      <c r="Q46" s="43" t="s">
        <v>47</v>
      </c>
      <c r="R46" s="21"/>
      <c r="S46" s="21"/>
      <c r="T46" s="21"/>
      <c r="U46" s="38"/>
      <c r="AA46" s="20"/>
    </row>
    <row r="47" ht="22.5" customHeight="1">
      <c r="A47" s="38" t="s">
        <v>282</v>
      </c>
      <c r="B47" s="32"/>
      <c r="C47" s="32" t="str">
        <f t="array" ref="C47">IF(A47="","",_xlfn.XLOOKUP(A47,Catalogo_BR!$A$2:$A$277,Catalogo_BR!$B$2:$B$277,"",0))</f>
        <v>Global Defense</v>
      </c>
      <c r="D47" s="32"/>
      <c r="E47" s="28" t="str">
        <f t="shared" si="1"/>
        <v>Loose</v>
      </c>
      <c r="F47" s="40" t="s">
        <v>53</v>
      </c>
      <c r="G47" s="41">
        <v>3.0</v>
      </c>
      <c r="H47" s="41">
        <v>3.0</v>
      </c>
      <c r="I47" s="42">
        <v>1987.0</v>
      </c>
      <c r="J47" s="41" t="s">
        <v>75</v>
      </c>
      <c r="K47" s="41" t="s">
        <v>76</v>
      </c>
      <c r="L47" s="41" t="s">
        <v>246</v>
      </c>
      <c r="M47" s="28" t="b">
        <v>1</v>
      </c>
      <c r="N47" s="28" t="b">
        <v>0</v>
      </c>
      <c r="O47" s="28" t="b">
        <v>0</v>
      </c>
      <c r="P47" s="42" t="b">
        <v>0</v>
      </c>
      <c r="Q47" s="43" t="s">
        <v>47</v>
      </c>
      <c r="R47" s="21"/>
      <c r="S47" s="21"/>
      <c r="T47" s="21"/>
      <c r="U47" s="38"/>
      <c r="AA47" s="20"/>
    </row>
    <row r="48" ht="22.5" customHeight="1">
      <c r="A48" s="38" t="s">
        <v>82</v>
      </c>
      <c r="B48" s="32"/>
      <c r="C48" s="32" t="str">
        <f t="array" ref="C48">IF(A48="","",_xlfn.XLOOKUP(A48,Catalogo_BR!$A$2:$A$277,Catalogo_BR!$B$2:$B$277,"",0))</f>
        <v>Alien Storm</v>
      </c>
      <c r="D48" s="32"/>
      <c r="E48" s="28" t="str">
        <f t="shared" si="1"/>
        <v>Não possuo</v>
      </c>
      <c r="F48" s="40" t="s">
        <v>39</v>
      </c>
      <c r="G48" s="41">
        <v>1.0</v>
      </c>
      <c r="H48" s="41">
        <v>3.0</v>
      </c>
      <c r="I48" s="42">
        <v>1991.0</v>
      </c>
      <c r="J48" s="41" t="s">
        <v>75</v>
      </c>
      <c r="K48" s="41" t="s">
        <v>76</v>
      </c>
      <c r="L48" s="41" t="s">
        <v>253</v>
      </c>
      <c r="M48" s="28" t="b">
        <v>0</v>
      </c>
      <c r="N48" s="28" t="b">
        <v>0</v>
      </c>
      <c r="O48" s="28" t="b">
        <v>0</v>
      </c>
      <c r="P48" s="42" t="b">
        <v>0</v>
      </c>
      <c r="Q48" s="43" t="s">
        <v>47</v>
      </c>
      <c r="R48" s="21"/>
      <c r="S48" s="21"/>
      <c r="T48" s="21"/>
      <c r="U48" s="38"/>
      <c r="AA48" s="20"/>
    </row>
    <row r="49" ht="22.5" customHeight="1">
      <c r="A49" s="38" t="s">
        <v>343</v>
      </c>
      <c r="B49" s="32"/>
      <c r="C49" s="32" t="str">
        <f t="array" ref="C49">IF(A49="","",_xlfn.XLOOKUP(A49,Catalogo_BR!$A$2:$A$277,Catalogo_BR!$B$2:$B$277,"",0))</f>
        <v>Legend of Illusion starring Mickey Mouse</v>
      </c>
      <c r="D49" s="32"/>
      <c r="E49" s="28" t="str">
        <f t="shared" si="1"/>
        <v>Não possuo</v>
      </c>
      <c r="F49" s="40" t="s">
        <v>89</v>
      </c>
      <c r="G49" s="41">
        <v>3.0</v>
      </c>
      <c r="H49" s="41">
        <v>3.0</v>
      </c>
      <c r="I49" s="42">
        <v>1998.0</v>
      </c>
      <c r="J49" s="41" t="s">
        <v>75</v>
      </c>
      <c r="K49" s="41" t="s">
        <v>76</v>
      </c>
      <c r="L49" s="41" t="s">
        <v>246</v>
      </c>
      <c r="M49" s="28" t="b">
        <v>0</v>
      </c>
      <c r="N49" s="28" t="b">
        <v>0</v>
      </c>
      <c r="O49" s="28" t="b">
        <v>0</v>
      </c>
      <c r="P49" s="42" t="b">
        <v>0</v>
      </c>
      <c r="Q49" s="43" t="s">
        <v>47</v>
      </c>
      <c r="R49" s="21"/>
      <c r="S49" s="21"/>
      <c r="T49" s="21"/>
      <c r="U49" s="38" t="s">
        <v>380</v>
      </c>
      <c r="AA49" s="20"/>
    </row>
    <row r="50" ht="22.5" customHeight="1">
      <c r="A50" s="38" t="s">
        <v>361</v>
      </c>
      <c r="B50" s="32"/>
      <c r="C50" s="32" t="str">
        <f t="array" ref="C50">IF(A50="","",_xlfn.XLOOKUP(A50,Catalogo_BR!$A$2:$A$277,Catalogo_BR!$B$2:$B$277,"",0))</f>
        <v>Mickey's Ultimate Challenge</v>
      </c>
      <c r="D50" s="32"/>
      <c r="E50" s="28" t="str">
        <f t="shared" si="1"/>
        <v>Não possuo</v>
      </c>
      <c r="F50" s="40" t="s">
        <v>89</v>
      </c>
      <c r="G50" s="41">
        <v>3.0</v>
      </c>
      <c r="H50" s="41">
        <v>3.0</v>
      </c>
      <c r="I50" s="42">
        <v>1998.0</v>
      </c>
      <c r="J50" s="41" t="s">
        <v>75</v>
      </c>
      <c r="K50" s="41" t="s">
        <v>76</v>
      </c>
      <c r="L50" s="41" t="s">
        <v>246</v>
      </c>
      <c r="M50" s="28" t="b">
        <v>0</v>
      </c>
      <c r="N50" s="28" t="b">
        <v>0</v>
      </c>
      <c r="O50" s="28" t="b">
        <v>0</v>
      </c>
      <c r="P50" s="42" t="b">
        <v>0</v>
      </c>
      <c r="Q50" s="43" t="s">
        <v>47</v>
      </c>
      <c r="R50" s="21"/>
      <c r="S50" s="21"/>
      <c r="T50" s="21"/>
      <c r="U50" s="38"/>
      <c r="AA50" s="20"/>
    </row>
    <row r="51" ht="22.5" customHeight="1">
      <c r="A51" s="38" t="s">
        <v>388</v>
      </c>
      <c r="B51" s="32"/>
      <c r="C51" s="32" t="str">
        <f t="array" ref="C51">IF(A51="","",_xlfn.XLOOKUP(A51,Catalogo_BR!$A$2:$A$277,Catalogo_BR!$B$2:$B$277,"",0))</f>
        <v>Operation Wolf</v>
      </c>
      <c r="D51" s="32"/>
      <c r="E51" s="28" t="str">
        <f t="shared" si="1"/>
        <v>Não possuo</v>
      </c>
      <c r="F51" s="40" t="s">
        <v>53</v>
      </c>
      <c r="G51" s="41">
        <v>1.0</v>
      </c>
      <c r="H51" s="41">
        <v>3.0</v>
      </c>
      <c r="I51" s="42">
        <v>1990.0</v>
      </c>
      <c r="J51" s="41" t="s">
        <v>75</v>
      </c>
      <c r="K51" s="41" t="s">
        <v>76</v>
      </c>
      <c r="L51" s="41" t="s">
        <v>246</v>
      </c>
      <c r="M51" s="28" t="b">
        <v>0</v>
      </c>
      <c r="N51" s="28" t="b">
        <v>0</v>
      </c>
      <c r="O51" s="28" t="b">
        <v>0</v>
      </c>
      <c r="P51" s="42" t="b">
        <v>0</v>
      </c>
      <c r="Q51" s="43" t="s">
        <v>47</v>
      </c>
      <c r="R51" s="21"/>
      <c r="S51" s="21"/>
      <c r="T51" s="21"/>
      <c r="U51" s="38"/>
      <c r="AA51" s="20"/>
    </row>
    <row r="52" ht="22.5" customHeight="1">
      <c r="A52" s="38" t="s">
        <v>394</v>
      </c>
      <c r="B52" s="32"/>
      <c r="C52" s="32" t="str">
        <f t="array" ref="C52">IF(A52="","",_xlfn.XLOOKUP(A52,Catalogo_BR!$A$2:$A$277,Catalogo_BR!$B$2:$B$277,"",0))</f>
        <v>Power Strike II</v>
      </c>
      <c r="D52" s="32"/>
      <c r="E52" s="28" t="str">
        <f t="shared" si="1"/>
        <v>Não possuo</v>
      </c>
      <c r="F52" s="40" t="s">
        <v>100</v>
      </c>
      <c r="G52" s="41">
        <v>1.0</v>
      </c>
      <c r="H52" s="41">
        <v>4.0</v>
      </c>
      <c r="I52" s="42">
        <v>1993.0</v>
      </c>
      <c r="J52" s="41" t="s">
        <v>75</v>
      </c>
      <c r="K52" s="41" t="s">
        <v>76</v>
      </c>
      <c r="L52" s="41" t="s">
        <v>246</v>
      </c>
      <c r="M52" s="28" t="b">
        <v>0</v>
      </c>
      <c r="N52" s="28" t="b">
        <v>0</v>
      </c>
      <c r="O52" s="28" t="b">
        <v>0</v>
      </c>
      <c r="P52" s="42" t="b">
        <v>0</v>
      </c>
      <c r="Q52" s="43" t="s">
        <v>47</v>
      </c>
      <c r="R52" s="21"/>
      <c r="S52" s="21"/>
      <c r="T52" s="21"/>
      <c r="U52" s="38"/>
      <c r="AA52" s="20"/>
    </row>
    <row r="53" ht="22.5" customHeight="1">
      <c r="A53" s="38" t="s">
        <v>138</v>
      </c>
      <c r="B53" s="32"/>
      <c r="C53" s="32" t="str">
        <f t="array" ref="C53">IF(A53="","",_xlfn.XLOOKUP(A53,Catalogo_BR!$A$2:$A$277,Catalogo_BR!$B$2:$B$277,"",0))</f>
        <v>Batman Returns</v>
      </c>
      <c r="D53" s="32"/>
      <c r="E53" s="28" t="str">
        <f t="shared" si="1"/>
        <v>Boxed</v>
      </c>
      <c r="F53" s="40" t="s">
        <v>140</v>
      </c>
      <c r="G53" s="41">
        <v>0.0</v>
      </c>
      <c r="H53" s="41">
        <v>4.0</v>
      </c>
      <c r="I53" s="42">
        <v>1993.0</v>
      </c>
      <c r="J53" s="41" t="s">
        <v>75</v>
      </c>
      <c r="K53" s="41" t="s">
        <v>76</v>
      </c>
      <c r="L53" s="41" t="s">
        <v>253</v>
      </c>
      <c r="M53" s="28" t="b">
        <v>1</v>
      </c>
      <c r="N53" s="28" t="b">
        <v>1</v>
      </c>
      <c r="O53" s="28" t="b">
        <v>1</v>
      </c>
      <c r="P53" s="42" t="b">
        <v>0</v>
      </c>
      <c r="Q53" s="43" t="s">
        <v>47</v>
      </c>
      <c r="R53" s="21"/>
      <c r="S53" s="21"/>
      <c r="T53" s="21"/>
      <c r="U53" s="38"/>
      <c r="AA53" s="20"/>
    </row>
    <row r="54" ht="22.5" customHeight="1">
      <c r="A54" s="38" t="s">
        <v>205</v>
      </c>
      <c r="B54" s="32"/>
      <c r="C54" s="32" t="str">
        <f t="array" ref="C54">IF(A54="","",_xlfn.XLOOKUP(A54,Catalogo_BR!$A$2:$A$277,Catalogo_BR!$B$2:$B$277,"",0))</f>
        <v>Dragon Crystal</v>
      </c>
      <c r="D54" s="32"/>
      <c r="E54" s="28" t="str">
        <f t="shared" si="1"/>
        <v>Boxed</v>
      </c>
      <c r="F54" s="40" t="s">
        <v>100</v>
      </c>
      <c r="G54" s="41">
        <v>0.0</v>
      </c>
      <c r="H54" s="41">
        <v>5.0</v>
      </c>
      <c r="I54" s="42">
        <v>1991.0</v>
      </c>
      <c r="J54" s="41" t="s">
        <v>46</v>
      </c>
      <c r="K54" s="41" t="s">
        <v>76</v>
      </c>
      <c r="L54" s="41" t="s">
        <v>253</v>
      </c>
      <c r="M54" s="28" t="b">
        <v>1</v>
      </c>
      <c r="N54" s="28" t="b">
        <v>1</v>
      </c>
      <c r="O54" s="28" t="b">
        <v>1</v>
      </c>
      <c r="P54" s="42" t="b">
        <v>0</v>
      </c>
      <c r="Q54" s="43" t="s">
        <v>47</v>
      </c>
      <c r="R54" s="21"/>
      <c r="S54" s="21"/>
      <c r="T54" s="21"/>
      <c r="U54" s="38"/>
      <c r="AA54" s="20"/>
    </row>
    <row r="55" ht="22.5" customHeight="1">
      <c r="A55" s="38" t="s">
        <v>408</v>
      </c>
      <c r="B55" s="32"/>
      <c r="C55" s="32" t="str">
        <f t="array" ref="C55">IF(A55="","",_xlfn.XLOOKUP(A55,Catalogo_BR!$A$2:$A$277,Catalogo_BR!$B$2:$B$277,"",0))</f>
        <v>Turma da Mônica em: O Resgate</v>
      </c>
      <c r="D55" s="32"/>
      <c r="E55" s="28" t="str">
        <f t="shared" si="1"/>
        <v>Boxed</v>
      </c>
      <c r="F55" s="40" t="s">
        <v>100</v>
      </c>
      <c r="G55" s="41">
        <v>0.0</v>
      </c>
      <c r="H55" s="41">
        <v>5.0</v>
      </c>
      <c r="I55" s="42">
        <v>1993.0</v>
      </c>
      <c r="J55" s="41" t="s">
        <v>75</v>
      </c>
      <c r="K55" s="41" t="s">
        <v>76</v>
      </c>
      <c r="L55" s="41" t="s">
        <v>253</v>
      </c>
      <c r="M55" s="28" t="b">
        <v>1</v>
      </c>
      <c r="N55" s="28" t="b">
        <v>1</v>
      </c>
      <c r="O55" s="28" t="b">
        <v>1</v>
      </c>
      <c r="P55" s="42" t="b">
        <v>0</v>
      </c>
      <c r="Q55" s="43" t="s">
        <v>47</v>
      </c>
      <c r="R55" s="21"/>
      <c r="S55" s="21"/>
      <c r="T55" s="21"/>
      <c r="U55" s="38"/>
      <c r="AA55" s="20"/>
    </row>
    <row r="56" ht="22.5" customHeight="1">
      <c r="A56" s="38" t="s">
        <v>354</v>
      </c>
      <c r="B56" s="32"/>
      <c r="C56" s="32" t="str">
        <f t="array" ref="C56">IF(A56="","",_xlfn.XLOOKUP(A56,Catalogo_BR!$A$2:$A$277,Catalogo_BR!$B$2:$B$277,"",0))</f>
        <v>Master of Darkness</v>
      </c>
      <c r="D56" s="32"/>
      <c r="E56" s="28" t="str">
        <f t="shared" si="1"/>
        <v>Boxed</v>
      </c>
      <c r="F56" s="40" t="s">
        <v>140</v>
      </c>
      <c r="G56" s="41">
        <v>0.0</v>
      </c>
      <c r="H56" s="41">
        <v>5.0</v>
      </c>
      <c r="I56" s="42">
        <v>1993.0</v>
      </c>
      <c r="J56" s="41" t="s">
        <v>75</v>
      </c>
      <c r="K56" s="41" t="s">
        <v>76</v>
      </c>
      <c r="L56" s="41" t="s">
        <v>253</v>
      </c>
      <c r="M56" s="28" t="b">
        <v>1</v>
      </c>
      <c r="N56" s="28" t="b">
        <v>1</v>
      </c>
      <c r="O56" s="28" t="b">
        <v>1</v>
      </c>
      <c r="P56" s="42" t="b">
        <v>0</v>
      </c>
      <c r="Q56" s="43" t="s">
        <v>47</v>
      </c>
      <c r="R56" s="21"/>
      <c r="S56" s="21"/>
      <c r="T56" s="21"/>
      <c r="U56" s="38"/>
      <c r="AA56" s="20"/>
    </row>
    <row r="57" ht="22.5" customHeight="1">
      <c r="A57" s="38" t="s">
        <v>419</v>
      </c>
      <c r="B57" s="32"/>
      <c r="C57" s="32" t="str">
        <f t="array" ref="C57">IF(A57="","",_xlfn.XLOOKUP(A57,Catalogo_BR!$A$2:$A$277,Catalogo_BR!$B$2:$B$277,"",0))</f>
        <v>Sega World Tournament Golf</v>
      </c>
      <c r="D57" s="32"/>
      <c r="E57" s="28" t="str">
        <f t="shared" si="1"/>
        <v>Boxed</v>
      </c>
      <c r="F57" s="40" t="s">
        <v>140</v>
      </c>
      <c r="G57" s="41">
        <v>0.0</v>
      </c>
      <c r="H57" s="41">
        <v>2.0</v>
      </c>
      <c r="I57" s="42">
        <v>1993.0</v>
      </c>
      <c r="J57" s="41" t="s">
        <v>75</v>
      </c>
      <c r="K57" s="41" t="s">
        <v>76</v>
      </c>
      <c r="L57" s="41" t="s">
        <v>253</v>
      </c>
      <c r="M57" s="28" t="b">
        <v>1</v>
      </c>
      <c r="N57" s="28" t="b">
        <v>1</v>
      </c>
      <c r="O57" s="28" t="b">
        <v>1</v>
      </c>
      <c r="P57" s="42" t="b">
        <v>0</v>
      </c>
      <c r="Q57" s="43" t="s">
        <v>47</v>
      </c>
      <c r="R57" s="21"/>
      <c r="S57" s="21"/>
      <c r="T57" s="21"/>
      <c r="U57" s="38"/>
      <c r="AA57" s="20"/>
    </row>
    <row r="58" ht="22.5" customHeight="1">
      <c r="A58" s="38" t="s">
        <v>423</v>
      </c>
      <c r="B58" s="32"/>
      <c r="C58" s="32" t="str">
        <f t="array" ref="C58">IF(A58="","",_xlfn.XLOOKUP(A58,Catalogo_BR!$A$2:$A$277,Catalogo_BR!$B$2:$B$277,"",0))</f>
        <v>Streets of Rage</v>
      </c>
      <c r="D58" s="32"/>
      <c r="E58" s="28" t="str">
        <f t="shared" si="1"/>
        <v>Boxed</v>
      </c>
      <c r="F58" s="40" t="s">
        <v>140</v>
      </c>
      <c r="G58" s="41">
        <v>0.0</v>
      </c>
      <c r="H58" s="41">
        <v>4.0</v>
      </c>
      <c r="I58" s="42">
        <v>1993.0</v>
      </c>
      <c r="J58" s="41" t="s">
        <v>75</v>
      </c>
      <c r="K58" s="41" t="s">
        <v>76</v>
      </c>
      <c r="L58" s="41" t="s">
        <v>253</v>
      </c>
      <c r="M58" s="28" t="b">
        <v>1</v>
      </c>
      <c r="N58" s="28" t="b">
        <v>1</v>
      </c>
      <c r="O58" s="28" t="b">
        <v>1</v>
      </c>
      <c r="P58" s="42" t="b">
        <v>0</v>
      </c>
      <c r="Q58" s="43" t="s">
        <v>47</v>
      </c>
      <c r="R58" s="21"/>
      <c r="S58" s="21"/>
      <c r="T58" s="21"/>
      <c r="U58" s="38"/>
      <c r="AA58" s="20"/>
    </row>
    <row r="59" ht="22.5" customHeight="1">
      <c r="A59" s="38" t="s">
        <v>323</v>
      </c>
      <c r="B59" s="32"/>
      <c r="C59" s="32" t="str">
        <f t="array" ref="C59">IF(A59="","",_xlfn.XLOOKUP(A59,Catalogo_BR!$A$2:$A$277,Catalogo_BR!$B$2:$B$277,"",0))</f>
        <v>Joe Montana Football</v>
      </c>
      <c r="D59" s="32"/>
      <c r="E59" s="28" t="str">
        <f t="shared" si="1"/>
        <v>Boxed</v>
      </c>
      <c r="F59" s="40" t="s">
        <v>39</v>
      </c>
      <c r="G59" s="41">
        <v>0.0</v>
      </c>
      <c r="H59" s="41">
        <v>2.0</v>
      </c>
      <c r="I59" s="42">
        <v>1990.0</v>
      </c>
      <c r="J59" s="41" t="s">
        <v>75</v>
      </c>
      <c r="K59" s="41" t="s">
        <v>76</v>
      </c>
      <c r="L59" s="41" t="s">
        <v>253</v>
      </c>
      <c r="M59" s="28" t="b">
        <v>1</v>
      </c>
      <c r="N59" s="28" t="b">
        <v>1</v>
      </c>
      <c r="O59" s="28" t="b">
        <v>1</v>
      </c>
      <c r="P59" s="42" t="b">
        <v>0</v>
      </c>
      <c r="Q59" s="43" t="s">
        <v>47</v>
      </c>
      <c r="R59" s="21"/>
      <c r="S59" s="21"/>
      <c r="T59" s="21"/>
      <c r="U59" s="38"/>
      <c r="AA59" s="20"/>
    </row>
    <row r="60" ht="22.5" customHeight="1">
      <c r="A60" s="38" t="s">
        <v>435</v>
      </c>
      <c r="B60" s="32"/>
      <c r="C60" s="32" t="str">
        <f t="array" ref="C60">IF(A60="","",_xlfn.XLOOKUP(A60,Catalogo_BR!$A$2:$A$277,Catalogo_BR!$B$2:$B$277,"",0))</f>
        <v>Submarine Attack</v>
      </c>
      <c r="D60" s="32"/>
      <c r="E60" s="28" t="str">
        <f t="shared" si="1"/>
        <v>Boxed</v>
      </c>
      <c r="F60" s="40" t="s">
        <v>39</v>
      </c>
      <c r="G60" s="41">
        <v>0.0</v>
      </c>
      <c r="H60" s="41">
        <v>3.0</v>
      </c>
      <c r="I60" s="42">
        <v>1990.0</v>
      </c>
      <c r="J60" s="41" t="s">
        <v>75</v>
      </c>
      <c r="K60" s="41" t="s">
        <v>76</v>
      </c>
      <c r="L60" s="41" t="s">
        <v>253</v>
      </c>
      <c r="M60" s="28" t="b">
        <v>1</v>
      </c>
      <c r="N60" s="28" t="b">
        <v>1</v>
      </c>
      <c r="O60" s="28" t="b">
        <v>1</v>
      </c>
      <c r="P60" s="42" t="b">
        <v>0</v>
      </c>
      <c r="Q60" s="43" t="s">
        <v>47</v>
      </c>
      <c r="R60" s="21"/>
      <c r="S60" s="21"/>
      <c r="T60" s="21"/>
      <c r="U60" s="38"/>
      <c r="AA60" s="20"/>
    </row>
    <row r="61" ht="22.5" customHeight="1">
      <c r="A61" s="38" t="s">
        <v>441</v>
      </c>
      <c r="B61" s="32"/>
      <c r="C61" s="32" t="str">
        <f t="array" ref="C61">IF(A61="","",_xlfn.XLOOKUP(A61,Catalogo_BR!$A$2:$A$277,Catalogo_BR!$B$2:$B$277,"",0))</f>
        <v>Zillion</v>
      </c>
      <c r="D61" s="32"/>
      <c r="E61" s="28" t="str">
        <f t="shared" si="1"/>
        <v>Boxed</v>
      </c>
      <c r="F61" s="40" t="s">
        <v>39</v>
      </c>
      <c r="G61" s="41">
        <v>0.0</v>
      </c>
      <c r="H61" s="41">
        <v>3.0</v>
      </c>
      <c r="I61" s="42">
        <v>1987.0</v>
      </c>
      <c r="J61" s="41" t="s">
        <v>75</v>
      </c>
      <c r="K61" s="41" t="s">
        <v>76</v>
      </c>
      <c r="L61" s="41" t="s">
        <v>253</v>
      </c>
      <c r="M61" s="28" t="b">
        <v>1</v>
      </c>
      <c r="N61" s="28" t="b">
        <v>1</v>
      </c>
      <c r="O61" s="28" t="b">
        <v>1</v>
      </c>
      <c r="P61" s="42" t="b">
        <v>0</v>
      </c>
      <c r="Q61" s="43" t="s">
        <v>47</v>
      </c>
      <c r="R61" s="21"/>
      <c r="S61" s="21"/>
      <c r="T61" s="21"/>
      <c r="U61" s="38"/>
      <c r="AA61" s="20"/>
    </row>
    <row r="62" ht="22.5" customHeight="1">
      <c r="A62" s="38" t="s">
        <v>446</v>
      </c>
      <c r="B62" s="32"/>
      <c r="C62" s="32" t="str">
        <f t="array" ref="C62">IF(A62="","",_xlfn.XLOOKUP(A62,Catalogo_BR!$A$2:$A$277,Catalogo_BR!$B$2:$B$277,"",0))</f>
        <v>Vigilante</v>
      </c>
      <c r="D62" s="32"/>
      <c r="E62" s="28" t="str">
        <f t="shared" si="1"/>
        <v>Boxed</v>
      </c>
      <c r="F62" s="40" t="s">
        <v>39</v>
      </c>
      <c r="G62" s="41">
        <v>0.0</v>
      </c>
      <c r="H62" s="41">
        <v>3.0</v>
      </c>
      <c r="I62" s="42">
        <v>1989.0</v>
      </c>
      <c r="J62" s="41" t="s">
        <v>75</v>
      </c>
      <c r="K62" s="41" t="s">
        <v>76</v>
      </c>
      <c r="L62" s="41" t="s">
        <v>253</v>
      </c>
      <c r="M62" s="28" t="b">
        <v>1</v>
      </c>
      <c r="N62" s="28" t="b">
        <v>1</v>
      </c>
      <c r="O62" s="28" t="b">
        <v>1</v>
      </c>
      <c r="P62" s="42" t="b">
        <v>0</v>
      </c>
      <c r="Q62" s="43" t="s">
        <v>47</v>
      </c>
      <c r="R62" s="21"/>
      <c r="S62" s="21"/>
      <c r="T62" s="21"/>
      <c r="U62" s="38"/>
      <c r="AA62" s="20"/>
    </row>
    <row r="63" ht="22.5" customHeight="1">
      <c r="A63" s="38" t="s">
        <v>172</v>
      </c>
      <c r="B63" s="32"/>
      <c r="C63" s="32" t="str">
        <f t="array" ref="C63">IF(A63="","",_xlfn.XLOOKUP(A63,Catalogo_BR!$A$2:$A$277,Catalogo_BR!$B$2:$B$277,"",0))</f>
        <v>Chuck Rock</v>
      </c>
      <c r="D63" s="32"/>
      <c r="E63" s="28" t="str">
        <f t="shared" si="1"/>
        <v>CIB</v>
      </c>
      <c r="F63" s="40" t="s">
        <v>140</v>
      </c>
      <c r="G63" s="41">
        <v>0.0</v>
      </c>
      <c r="H63" s="41">
        <v>3.0</v>
      </c>
      <c r="I63" s="42">
        <v>1992.0</v>
      </c>
      <c r="J63" s="41" t="s">
        <v>75</v>
      </c>
      <c r="K63" s="41" t="s">
        <v>76</v>
      </c>
      <c r="L63" s="41" t="s">
        <v>253</v>
      </c>
      <c r="M63" s="28" t="b">
        <v>1</v>
      </c>
      <c r="N63" s="28" t="b">
        <v>1</v>
      </c>
      <c r="O63" s="28" t="b">
        <v>1</v>
      </c>
      <c r="P63" s="42" t="b">
        <v>1</v>
      </c>
      <c r="Q63" s="43" t="s">
        <v>47</v>
      </c>
      <c r="R63" s="21"/>
      <c r="S63" s="21"/>
      <c r="T63" s="21"/>
      <c r="U63" s="38"/>
      <c r="AA63" s="20"/>
    </row>
    <row r="64" ht="22.5" customHeight="1">
      <c r="A64" s="38" t="s">
        <v>284</v>
      </c>
      <c r="B64" s="32"/>
      <c r="C64" s="32" t="str">
        <f t="array" ref="C64">IF(A64="","",_xlfn.XLOOKUP(A64,Catalogo_BR!$A$2:$A$277,Catalogo_BR!$B$2:$B$277,"",0))</f>
        <v>Global Gladiators</v>
      </c>
      <c r="D64" s="32"/>
      <c r="E64" s="28" t="str">
        <f t="shared" si="1"/>
        <v>CIB</v>
      </c>
      <c r="F64" s="40" t="s">
        <v>140</v>
      </c>
      <c r="G64" s="41">
        <v>0.0</v>
      </c>
      <c r="H64" s="41">
        <v>3.0</v>
      </c>
      <c r="I64" s="42">
        <v>1993.0</v>
      </c>
      <c r="J64" s="41" t="s">
        <v>75</v>
      </c>
      <c r="K64" s="41" t="s">
        <v>76</v>
      </c>
      <c r="L64" s="41" t="s">
        <v>253</v>
      </c>
      <c r="M64" s="28" t="b">
        <v>1</v>
      </c>
      <c r="N64" s="28" t="b">
        <v>1</v>
      </c>
      <c r="O64" s="28" t="b">
        <v>1</v>
      </c>
      <c r="P64" s="42" t="b">
        <v>1</v>
      </c>
      <c r="Q64" s="43" t="s">
        <v>47</v>
      </c>
      <c r="R64" s="21"/>
      <c r="S64" s="21"/>
      <c r="T64" s="21"/>
      <c r="U64" s="38"/>
      <c r="AA64" s="20"/>
    </row>
    <row r="65" ht="22.5" customHeight="1">
      <c r="A65" s="38" t="s">
        <v>297</v>
      </c>
      <c r="B65" s="32"/>
      <c r="C65" s="32" t="str">
        <f t="array" ref="C65">IF(A65="","",_xlfn.XLOOKUP(A65,Catalogo_BR!$A$2:$A$277,Catalogo_BR!$B$2:$B$277,"",0))</f>
        <v>GP Rider</v>
      </c>
      <c r="D65" s="32"/>
      <c r="E65" s="28" t="str">
        <f t="shared" si="1"/>
        <v>CIB</v>
      </c>
      <c r="F65" s="40" t="s">
        <v>140</v>
      </c>
      <c r="G65" s="41">
        <v>0.0</v>
      </c>
      <c r="H65" s="41">
        <v>4.0</v>
      </c>
      <c r="I65" s="42">
        <v>1988.0</v>
      </c>
      <c r="J65" s="41" t="s">
        <v>75</v>
      </c>
      <c r="K65" s="41" t="s">
        <v>76</v>
      </c>
      <c r="L65" s="41" t="s">
        <v>253</v>
      </c>
      <c r="M65" s="28" t="b">
        <v>1</v>
      </c>
      <c r="N65" s="28" t="b">
        <v>1</v>
      </c>
      <c r="O65" s="28" t="b">
        <v>1</v>
      </c>
      <c r="P65" s="42" t="b">
        <v>1</v>
      </c>
      <c r="Q65" s="43" t="s">
        <v>47</v>
      </c>
      <c r="R65" s="21"/>
      <c r="S65" s="21"/>
      <c r="T65" s="21"/>
      <c r="U65" s="38"/>
      <c r="AA65" s="20"/>
    </row>
    <row r="66" ht="22.5" customHeight="1">
      <c r="A66" s="38" t="s">
        <v>163</v>
      </c>
      <c r="B66" s="32"/>
      <c r="C66" s="32" t="str">
        <f t="array" ref="C66">IF(A66="","",_xlfn.XLOOKUP(A66,Catalogo_BR!$A$2:$A$277,Catalogo_BR!$B$2:$B$277,"",0))</f>
        <v>Champions of Europe</v>
      </c>
      <c r="D66" s="32"/>
      <c r="E66" s="28" t="str">
        <f t="shared" si="1"/>
        <v>CIB</v>
      </c>
      <c r="F66" s="40" t="s">
        <v>100</v>
      </c>
      <c r="G66" s="41">
        <v>0.0</v>
      </c>
      <c r="H66" s="41">
        <v>2.0</v>
      </c>
      <c r="I66" s="42">
        <v>1992.0</v>
      </c>
      <c r="J66" s="41" t="s">
        <v>75</v>
      </c>
      <c r="K66" s="41" t="s">
        <v>76</v>
      </c>
      <c r="L66" s="41" t="s">
        <v>253</v>
      </c>
      <c r="M66" s="28" t="b">
        <v>1</v>
      </c>
      <c r="N66" s="28" t="b">
        <v>1</v>
      </c>
      <c r="O66" s="28" t="b">
        <v>1</v>
      </c>
      <c r="P66" s="42" t="b">
        <v>1</v>
      </c>
      <c r="Q66" s="43" t="s">
        <v>47</v>
      </c>
      <c r="R66" s="21"/>
      <c r="S66" s="21"/>
      <c r="T66" s="21"/>
      <c r="U66" s="38"/>
      <c r="AA66" s="20"/>
    </row>
    <row r="67" ht="22.5" customHeight="1">
      <c r="A67" s="38" t="s">
        <v>341</v>
      </c>
      <c r="B67" s="32"/>
      <c r="C67" s="32" t="str">
        <f t="array" ref="C67">IF(A67="","",_xlfn.XLOOKUP(A67,Catalogo_BR!$A$2:$A$277,Catalogo_BR!$B$2:$B$277,"",0))</f>
        <v>Land of Illusion Estrelando Mickey Mouse</v>
      </c>
      <c r="D67" s="32"/>
      <c r="E67" s="28" t="str">
        <f t="shared" si="1"/>
        <v>CIB</v>
      </c>
      <c r="F67" s="40" t="s">
        <v>140</v>
      </c>
      <c r="G67" s="41">
        <v>0.0</v>
      </c>
      <c r="H67" s="41">
        <v>4.0</v>
      </c>
      <c r="I67" s="42">
        <v>1993.0</v>
      </c>
      <c r="J67" s="41" t="s">
        <v>75</v>
      </c>
      <c r="K67" s="41" t="s">
        <v>76</v>
      </c>
      <c r="L67" s="41" t="s">
        <v>253</v>
      </c>
      <c r="M67" s="28" t="b">
        <v>1</v>
      </c>
      <c r="N67" s="28" t="b">
        <v>1</v>
      </c>
      <c r="O67" s="28" t="b">
        <v>1</v>
      </c>
      <c r="P67" s="42" t="b">
        <v>1</v>
      </c>
      <c r="Q67" s="43" t="s">
        <v>47</v>
      </c>
      <c r="R67" s="21"/>
      <c r="S67" s="21"/>
      <c r="T67" s="21"/>
      <c r="U67" s="38" t="s">
        <v>471</v>
      </c>
      <c r="AA67" s="20"/>
    </row>
    <row r="68" ht="22.5" customHeight="1">
      <c r="A68" s="38" t="s">
        <v>212</v>
      </c>
      <c r="B68" s="32"/>
      <c r="C68" s="32" t="str">
        <f t="array" ref="C68">IF(A68="","",_xlfn.XLOOKUP(A68,Catalogo_BR!$A$2:$A$277,Catalogo_BR!$B$2:$B$277,"",0))</f>
        <v>Dynamite Dux</v>
      </c>
      <c r="D68" s="32"/>
      <c r="E68" s="28" t="str">
        <f t="shared" si="1"/>
        <v>CIB</v>
      </c>
      <c r="F68" s="40" t="s">
        <v>53</v>
      </c>
      <c r="G68" s="41">
        <v>0.0</v>
      </c>
      <c r="H68" s="41">
        <v>3.0</v>
      </c>
      <c r="I68" s="42">
        <v>1990.0</v>
      </c>
      <c r="J68" s="41" t="s">
        <v>75</v>
      </c>
      <c r="K68" s="41" t="s">
        <v>76</v>
      </c>
      <c r="L68" s="41" t="s">
        <v>253</v>
      </c>
      <c r="M68" s="28" t="b">
        <v>1</v>
      </c>
      <c r="N68" s="28" t="b">
        <v>1</v>
      </c>
      <c r="O68" s="28" t="b">
        <v>1</v>
      </c>
      <c r="P68" s="42" t="b">
        <v>1</v>
      </c>
      <c r="Q68" s="43" t="s">
        <v>47</v>
      </c>
      <c r="R68" s="21"/>
      <c r="S68" s="21"/>
      <c r="T68" s="21"/>
      <c r="U68" s="38"/>
      <c r="AA68" s="20"/>
    </row>
    <row r="69" ht="22.5" customHeight="1">
      <c r="A69" s="38" t="s">
        <v>266</v>
      </c>
      <c r="B69" s="32"/>
      <c r="C69" s="32" t="str">
        <f t="array" ref="C69">IF(A69="","",_xlfn.XLOOKUP(A69,Catalogo_BR!$A$2:$A$277,Catalogo_BR!$B$2:$B$277,"",0))</f>
        <v>Gangster Town</v>
      </c>
      <c r="D69" s="32"/>
      <c r="E69" s="28" t="str">
        <f t="shared" si="1"/>
        <v>CIB</v>
      </c>
      <c r="F69" s="40" t="s">
        <v>53</v>
      </c>
      <c r="G69" s="41">
        <v>0.0</v>
      </c>
      <c r="H69" s="41">
        <v>3.0</v>
      </c>
      <c r="I69" s="42">
        <v>1987.0</v>
      </c>
      <c r="J69" s="41" t="s">
        <v>75</v>
      </c>
      <c r="K69" s="41" t="s">
        <v>76</v>
      </c>
      <c r="L69" s="41" t="s">
        <v>253</v>
      </c>
      <c r="M69" s="28" t="b">
        <v>1</v>
      </c>
      <c r="N69" s="28" t="b">
        <v>1</v>
      </c>
      <c r="O69" s="28" t="b">
        <v>1</v>
      </c>
      <c r="P69" s="42" t="b">
        <v>1</v>
      </c>
      <c r="Q69" s="43" t="s">
        <v>47</v>
      </c>
      <c r="R69" s="21"/>
      <c r="S69" s="21"/>
      <c r="T69" s="21"/>
      <c r="U69" s="38"/>
      <c r="AA69" s="20"/>
    </row>
    <row r="70" ht="22.5" customHeight="1">
      <c r="A70" s="38" t="s">
        <v>411</v>
      </c>
      <c r="B70" s="32"/>
      <c r="C70" s="32" t="str">
        <f t="array" ref="C70">IF(A70="","",_xlfn.XLOOKUP(A70,Catalogo_BR!$A$2:$A$277,Catalogo_BR!$B$2:$B$277,"",0))</f>
        <v>Predator 2</v>
      </c>
      <c r="D70" s="32"/>
      <c r="E70" s="28" t="str">
        <f t="shared" si="1"/>
        <v>CIB</v>
      </c>
      <c r="F70" s="40" t="s">
        <v>140</v>
      </c>
      <c r="G70" s="41">
        <v>0.0</v>
      </c>
      <c r="H70" s="41">
        <v>3.0</v>
      </c>
      <c r="I70" s="42">
        <v>1993.0</v>
      </c>
      <c r="J70" s="41" t="s">
        <v>75</v>
      </c>
      <c r="K70" s="41" t="s">
        <v>76</v>
      </c>
      <c r="L70" s="41" t="s">
        <v>253</v>
      </c>
      <c r="M70" s="28" t="b">
        <v>1</v>
      </c>
      <c r="N70" s="28" t="b">
        <v>1</v>
      </c>
      <c r="O70" s="28" t="b">
        <v>1</v>
      </c>
      <c r="P70" s="42" t="b">
        <v>1</v>
      </c>
      <c r="Q70" s="43" t="s">
        <v>47</v>
      </c>
      <c r="R70" s="21"/>
      <c r="S70" s="21"/>
      <c r="T70" s="21"/>
      <c r="U70" s="38"/>
      <c r="AA70" s="20"/>
    </row>
    <row r="71" ht="22.5" customHeight="1">
      <c r="A71" s="38" t="s">
        <v>159</v>
      </c>
      <c r="B71" s="32"/>
      <c r="C71" s="32" t="str">
        <f t="array" ref="C71">IF(A71="","",_xlfn.XLOOKUP(A71,Catalogo_BR!$A$2:$A$277,Catalogo_BR!$B$2:$B$277,"",0))</f>
        <v>Castle of Illusion Estrelando Mickey Mouse</v>
      </c>
      <c r="D71" s="32"/>
      <c r="E71" s="28" t="str">
        <f t="shared" si="1"/>
        <v>CIB</v>
      </c>
      <c r="F71" s="40" t="s">
        <v>39</v>
      </c>
      <c r="G71" s="41">
        <v>0.0</v>
      </c>
      <c r="H71" s="41">
        <v>4.0</v>
      </c>
      <c r="I71" s="42">
        <v>1991.0</v>
      </c>
      <c r="J71" s="41" t="s">
        <v>75</v>
      </c>
      <c r="K71" s="41" t="s">
        <v>76</v>
      </c>
      <c r="L71" s="41" t="s">
        <v>253</v>
      </c>
      <c r="M71" s="28" t="b">
        <v>1</v>
      </c>
      <c r="N71" s="28" t="b">
        <v>1</v>
      </c>
      <c r="O71" s="28" t="b">
        <v>1</v>
      </c>
      <c r="P71" s="42" t="b">
        <v>1</v>
      </c>
      <c r="Q71" s="43" t="s">
        <v>47</v>
      </c>
      <c r="R71" s="21"/>
      <c r="S71" s="21"/>
      <c r="T71" s="21"/>
      <c r="U71" s="38" t="s">
        <v>290</v>
      </c>
      <c r="AA71" s="20"/>
    </row>
    <row r="72" ht="22.5" customHeight="1">
      <c r="A72" s="38" t="s">
        <v>339</v>
      </c>
      <c r="B72" s="32"/>
      <c r="C72" s="32" t="str">
        <f t="array" ref="C72">IF(A72="","",_xlfn.XLOOKUP(A72,Catalogo_BR!$A$2:$A$277,Catalogo_BR!$B$2:$B$277,"",0))</f>
        <v>Kung Fu Kid</v>
      </c>
      <c r="D72" s="32"/>
      <c r="E72" s="28" t="str">
        <f t="shared" si="1"/>
        <v>CIB</v>
      </c>
      <c r="F72" s="40" t="s">
        <v>39</v>
      </c>
      <c r="G72" s="41">
        <v>0.0</v>
      </c>
      <c r="H72" s="41">
        <v>3.0</v>
      </c>
      <c r="I72" s="42">
        <v>1987.0</v>
      </c>
      <c r="J72" s="41" t="s">
        <v>75</v>
      </c>
      <c r="K72" s="41" t="s">
        <v>76</v>
      </c>
      <c r="L72" s="41" t="s">
        <v>253</v>
      </c>
      <c r="M72" s="28" t="b">
        <v>1</v>
      </c>
      <c r="N72" s="28" t="b">
        <v>1</v>
      </c>
      <c r="O72" s="28" t="b">
        <v>1</v>
      </c>
      <c r="P72" s="42" t="b">
        <v>1</v>
      </c>
      <c r="Q72" s="43" t="s">
        <v>47</v>
      </c>
      <c r="R72" s="21"/>
      <c r="S72" s="21"/>
      <c r="T72" s="21"/>
      <c r="U72" s="38"/>
      <c r="AA72" s="20"/>
    </row>
    <row r="73" ht="22.5" customHeight="1">
      <c r="A73" s="38" t="s">
        <v>57</v>
      </c>
      <c r="B73" s="32"/>
      <c r="C73" s="32" t="str">
        <f t="array" ref="C73">IF(A73="","",_xlfn.XLOOKUP(A73,Catalogo_BR!$A$2:$A$277,Catalogo_BR!$B$2:$B$277,"",0))</f>
        <v>Air Rescue</v>
      </c>
      <c r="D73" s="32"/>
      <c r="E73" s="28" t="str">
        <f t="shared" si="1"/>
        <v>CIB</v>
      </c>
      <c r="F73" s="40" t="s">
        <v>39</v>
      </c>
      <c r="G73" s="41">
        <v>0.0</v>
      </c>
      <c r="H73" s="41">
        <v>2.0</v>
      </c>
      <c r="I73" s="42">
        <v>1992.0</v>
      </c>
      <c r="J73" s="41" t="s">
        <v>75</v>
      </c>
      <c r="K73" s="41" t="s">
        <v>76</v>
      </c>
      <c r="L73" s="41" t="s">
        <v>253</v>
      </c>
      <c r="M73" s="28" t="b">
        <v>1</v>
      </c>
      <c r="N73" s="28" t="b">
        <v>1</v>
      </c>
      <c r="O73" s="28" t="b">
        <v>1</v>
      </c>
      <c r="P73" s="42" t="b">
        <v>1</v>
      </c>
      <c r="Q73" s="43" t="s">
        <v>47</v>
      </c>
      <c r="R73" s="21"/>
      <c r="S73" s="21"/>
      <c r="T73" s="21"/>
      <c r="U73" s="38"/>
      <c r="AA73" s="20"/>
    </row>
    <row r="74" ht="22.5" customHeight="1">
      <c r="A74" s="38" t="s">
        <v>60</v>
      </c>
      <c r="B74" s="32"/>
      <c r="C74" s="32" t="str">
        <f t="array" ref="C74">IF(A74="","",_xlfn.XLOOKUP(A74,Catalogo_BR!$A$2:$A$277,Catalogo_BR!$B$2:$B$277,"",0))</f>
        <v>Alex Kidd High-Tech World</v>
      </c>
      <c r="D74" s="32"/>
      <c r="E74" s="28" t="str">
        <f t="shared" si="1"/>
        <v>CIB</v>
      </c>
      <c r="F74" s="40" t="s">
        <v>39</v>
      </c>
      <c r="G74" s="41">
        <v>0.0</v>
      </c>
      <c r="H74" s="41">
        <v>3.0</v>
      </c>
      <c r="I74" s="42">
        <v>1989.0</v>
      </c>
      <c r="J74" s="41" t="s">
        <v>75</v>
      </c>
      <c r="K74" s="41" t="s">
        <v>76</v>
      </c>
      <c r="L74" s="41" t="s">
        <v>253</v>
      </c>
      <c r="M74" s="28" t="b">
        <v>1</v>
      </c>
      <c r="N74" s="28" t="b">
        <v>1</v>
      </c>
      <c r="O74" s="28" t="b">
        <v>1</v>
      </c>
      <c r="P74" s="42" t="b">
        <v>1</v>
      </c>
      <c r="Q74" s="43" t="s">
        <v>47</v>
      </c>
      <c r="R74" s="21"/>
      <c r="S74" s="21"/>
      <c r="T74" s="21"/>
      <c r="U74" s="38"/>
      <c r="AA74" s="20"/>
    </row>
    <row r="75" ht="22.5" customHeight="1">
      <c r="A75" s="38" t="s">
        <v>109</v>
      </c>
      <c r="B75" s="32"/>
      <c r="C75" s="32" t="str">
        <f t="array" ref="C75">IF(A75="","",_xlfn.XLOOKUP(A75,Catalogo_BR!$A$2:$A$277,Catalogo_BR!$B$2:$B$277,"",0))</f>
        <v>Asterix</v>
      </c>
      <c r="D75" s="32"/>
      <c r="E75" s="28" t="str">
        <f t="shared" si="1"/>
        <v>CIB</v>
      </c>
      <c r="F75" s="40" t="s">
        <v>39</v>
      </c>
      <c r="G75" s="41">
        <v>0.0</v>
      </c>
      <c r="H75" s="41">
        <v>5.0</v>
      </c>
      <c r="I75" s="42">
        <v>1991.0</v>
      </c>
      <c r="J75" s="41" t="s">
        <v>75</v>
      </c>
      <c r="K75" s="41" t="s">
        <v>76</v>
      </c>
      <c r="L75" s="41" t="s">
        <v>253</v>
      </c>
      <c r="M75" s="28" t="b">
        <v>1</v>
      </c>
      <c r="N75" s="28" t="b">
        <v>1</v>
      </c>
      <c r="O75" s="28" t="b">
        <v>1</v>
      </c>
      <c r="P75" s="42" t="b">
        <v>1</v>
      </c>
      <c r="Q75" s="43" t="s">
        <v>47</v>
      </c>
      <c r="R75" s="21"/>
      <c r="S75" s="21"/>
      <c r="T75" s="21"/>
      <c r="U75" s="38"/>
      <c r="AA75" s="20"/>
    </row>
    <row r="76" ht="22.5" customHeight="1">
      <c r="A76" s="38" t="s">
        <v>161</v>
      </c>
      <c r="B76" s="32"/>
      <c r="C76" s="32" t="str">
        <f t="array" ref="C76">IF(A76="","",_xlfn.XLOOKUP(A76,Catalogo_BR!$A$2:$A$277,Catalogo_BR!$B$2:$B$277,"",0))</f>
        <v>Castle of Illusion Estrelando Mickey Mouse</v>
      </c>
      <c r="D76" s="32"/>
      <c r="E76" s="28" t="str">
        <f t="shared" si="1"/>
        <v>CIB</v>
      </c>
      <c r="F76" s="40" t="s">
        <v>39</v>
      </c>
      <c r="G76" s="41">
        <v>0.0</v>
      </c>
      <c r="H76" s="41">
        <v>5.0</v>
      </c>
      <c r="I76" s="42">
        <v>1991.0</v>
      </c>
      <c r="J76" s="41" t="s">
        <v>75</v>
      </c>
      <c r="K76" s="41" t="s">
        <v>76</v>
      </c>
      <c r="L76" s="41" t="s">
        <v>253</v>
      </c>
      <c r="M76" s="28" t="b">
        <v>1</v>
      </c>
      <c r="N76" s="28" t="b">
        <v>1</v>
      </c>
      <c r="O76" s="28" t="b">
        <v>1</v>
      </c>
      <c r="P76" s="42" t="b">
        <v>1</v>
      </c>
      <c r="Q76" s="43" t="s">
        <v>47</v>
      </c>
      <c r="R76" s="21"/>
      <c r="S76" s="21"/>
      <c r="T76" s="21"/>
      <c r="U76" s="38"/>
      <c r="AA76" s="20"/>
    </row>
    <row r="77" ht="22.5" customHeight="1">
      <c r="A77" s="38" t="s">
        <v>281</v>
      </c>
      <c r="B77" s="32"/>
      <c r="C77" s="32" t="str">
        <f t="array" ref="C77">IF(A77="","",_xlfn.XLOOKUP(A77,Catalogo_BR!$A$2:$A$277,Catalogo_BR!$B$2:$B$277,"",0))</f>
        <v>Ghouls 'n Ghosts</v>
      </c>
      <c r="D77" s="32"/>
      <c r="E77" s="28" t="str">
        <f t="shared" si="1"/>
        <v>CIB</v>
      </c>
      <c r="F77" s="40" t="s">
        <v>39</v>
      </c>
      <c r="G77" s="41">
        <v>0.0</v>
      </c>
      <c r="H77" s="41">
        <v>5.0</v>
      </c>
      <c r="I77" s="42">
        <v>1991.0</v>
      </c>
      <c r="J77" s="41" t="s">
        <v>127</v>
      </c>
      <c r="K77" s="41" t="s">
        <v>76</v>
      </c>
      <c r="L77" s="41" t="s">
        <v>253</v>
      </c>
      <c r="M77" s="28" t="b">
        <v>1</v>
      </c>
      <c r="N77" s="28" t="b">
        <v>1</v>
      </c>
      <c r="O77" s="28" t="b">
        <v>1</v>
      </c>
      <c r="P77" s="42" t="b">
        <v>1</v>
      </c>
      <c r="Q77" s="43" t="s">
        <v>47</v>
      </c>
      <c r="R77" s="21"/>
      <c r="S77" s="21"/>
      <c r="T77" s="21"/>
      <c r="U77" s="38"/>
      <c r="AA77" s="20"/>
    </row>
    <row r="78" ht="22.5" customHeight="1">
      <c r="A78" s="38" t="s">
        <v>308</v>
      </c>
      <c r="B78" s="32"/>
      <c r="C78" s="32" t="str">
        <f t="array" ref="C78">IF(A78="","",_xlfn.XLOOKUP(A78,Catalogo_BR!$A$2:$A$277,Catalogo_BR!$B$2:$B$277,"",0))</f>
        <v>Heavyweight Champ</v>
      </c>
      <c r="D78" s="32"/>
      <c r="E78" s="28" t="str">
        <f t="shared" si="1"/>
        <v>CIB</v>
      </c>
      <c r="F78" s="40" t="s">
        <v>39</v>
      </c>
      <c r="G78" s="41">
        <v>0.0</v>
      </c>
      <c r="H78" s="41">
        <v>2.0</v>
      </c>
      <c r="I78" s="42">
        <v>1990.0</v>
      </c>
      <c r="J78" s="41" t="s">
        <v>75</v>
      </c>
      <c r="K78" s="41" t="s">
        <v>76</v>
      </c>
      <c r="L78" s="41" t="s">
        <v>253</v>
      </c>
      <c r="M78" s="28" t="b">
        <v>1</v>
      </c>
      <c r="N78" s="28" t="b">
        <v>1</v>
      </c>
      <c r="O78" s="28" t="b">
        <v>1</v>
      </c>
      <c r="P78" s="42" t="b">
        <v>1</v>
      </c>
      <c r="Q78" s="43" t="s">
        <v>47</v>
      </c>
      <c r="R78" s="21"/>
      <c r="S78" s="21"/>
      <c r="T78" s="21"/>
      <c r="U78" s="38"/>
      <c r="AA78" s="20"/>
    </row>
    <row r="79" ht="22.5" customHeight="1">
      <c r="A79" s="38" t="s">
        <v>311</v>
      </c>
      <c r="B79" s="32"/>
      <c r="C79" s="32" t="str">
        <f t="array" ref="C79">IF(A79="","",_xlfn.XLOOKUP(A79,Catalogo_BR!$A$2:$A$277,Catalogo_BR!$B$2:$B$277,"",0))</f>
        <v>Heroes of the Lance</v>
      </c>
      <c r="D79" s="32"/>
      <c r="E79" s="28" t="str">
        <f t="shared" si="1"/>
        <v>CIB</v>
      </c>
      <c r="F79" s="40" t="s">
        <v>39</v>
      </c>
      <c r="G79" s="41">
        <v>0.0</v>
      </c>
      <c r="H79" s="41">
        <v>2.0</v>
      </c>
      <c r="I79" s="42">
        <v>1991.0</v>
      </c>
      <c r="J79" s="41" t="s">
        <v>75</v>
      </c>
      <c r="K79" s="41" t="s">
        <v>76</v>
      </c>
      <c r="L79" s="41" t="s">
        <v>253</v>
      </c>
      <c r="M79" s="28" t="b">
        <v>1</v>
      </c>
      <c r="N79" s="28" t="b">
        <v>1</v>
      </c>
      <c r="O79" s="28" t="b">
        <v>1</v>
      </c>
      <c r="P79" s="42" t="b">
        <v>1</v>
      </c>
      <c r="Q79" s="43" t="s">
        <v>47</v>
      </c>
      <c r="R79" s="21"/>
      <c r="S79" s="21"/>
      <c r="T79" s="21"/>
      <c r="U79" s="38"/>
      <c r="AA79" s="20"/>
    </row>
    <row r="80" ht="22.5" customHeight="1">
      <c r="A80" s="38" t="s">
        <v>345</v>
      </c>
      <c r="B80" s="32"/>
      <c r="C80" s="32" t="str">
        <f t="array" ref="C80">IF(A80="","",_xlfn.XLOOKUP(A80,Catalogo_BR!$A$2:$A$277,Catalogo_BR!$B$2:$B$277,"",0))</f>
        <v>Lemmings</v>
      </c>
      <c r="D80" s="32"/>
      <c r="E80" s="28" t="str">
        <f t="shared" si="1"/>
        <v>CIB</v>
      </c>
      <c r="F80" s="40" t="s">
        <v>39</v>
      </c>
      <c r="G80" s="41">
        <v>0.0</v>
      </c>
      <c r="H80" s="41">
        <v>3.0</v>
      </c>
      <c r="I80" s="42">
        <v>1992.0</v>
      </c>
      <c r="J80" s="41" t="s">
        <v>75</v>
      </c>
      <c r="K80" s="41" t="s">
        <v>76</v>
      </c>
      <c r="L80" s="41" t="s">
        <v>253</v>
      </c>
      <c r="M80" s="28" t="b">
        <v>1</v>
      </c>
      <c r="N80" s="28" t="b">
        <v>1</v>
      </c>
      <c r="O80" s="28" t="b">
        <v>1</v>
      </c>
      <c r="P80" s="42" t="b">
        <v>1</v>
      </c>
      <c r="Q80" s="43" t="s">
        <v>47</v>
      </c>
      <c r="R80" s="21"/>
      <c r="S80" s="21"/>
      <c r="T80" s="21"/>
      <c r="U80" s="38"/>
      <c r="AA80" s="20"/>
    </row>
    <row r="81" ht="22.5" customHeight="1">
      <c r="A81" s="38" t="s">
        <v>349</v>
      </c>
      <c r="B81" s="32"/>
      <c r="C81" s="32" t="str">
        <f t="array" ref="C81">IF(A81="","",_xlfn.XLOOKUP(A81,Catalogo_BR!$A$2:$A$277,Catalogo_BR!$B$2:$B$277,"",0))</f>
        <v>Lord of the Sword</v>
      </c>
      <c r="D81" s="32"/>
      <c r="E81" s="28" t="str">
        <f t="shared" si="1"/>
        <v>CIB</v>
      </c>
      <c r="F81" s="40" t="s">
        <v>39</v>
      </c>
      <c r="G81" s="41">
        <v>0.0</v>
      </c>
      <c r="H81" s="41">
        <v>4.0</v>
      </c>
      <c r="I81" s="42">
        <v>1988.0</v>
      </c>
      <c r="J81" s="41" t="s">
        <v>46</v>
      </c>
      <c r="K81" s="41" t="s">
        <v>76</v>
      </c>
      <c r="L81" s="41" t="s">
        <v>253</v>
      </c>
      <c r="M81" s="28" t="b">
        <v>1</v>
      </c>
      <c r="N81" s="28" t="b">
        <v>1</v>
      </c>
      <c r="O81" s="28" t="b">
        <v>1</v>
      </c>
      <c r="P81" s="42" t="b">
        <v>1</v>
      </c>
      <c r="Q81" s="43" t="s">
        <v>47</v>
      </c>
      <c r="R81" s="21"/>
      <c r="S81" s="21"/>
      <c r="T81" s="21"/>
      <c r="U81" s="38"/>
      <c r="AA81" s="20"/>
    </row>
    <row r="82" ht="22.5" customHeight="1">
      <c r="A82" s="38" t="s">
        <v>363</v>
      </c>
      <c r="B82" s="32"/>
      <c r="C82" s="32" t="str">
        <f t="array" ref="C82">IF(A82="","",_xlfn.XLOOKUP(A82,Catalogo_BR!$A$2:$A$277,Catalogo_BR!$B$2:$B$277,"",0))</f>
        <v>Minigolf</v>
      </c>
      <c r="D82" s="32"/>
      <c r="E82" s="28" t="str">
        <f t="shared" si="1"/>
        <v>CIB</v>
      </c>
      <c r="F82" s="40" t="s">
        <v>39</v>
      </c>
      <c r="G82" s="41">
        <v>0.0</v>
      </c>
      <c r="H82" s="41">
        <v>3.0</v>
      </c>
      <c r="I82" s="42">
        <v>1992.0</v>
      </c>
      <c r="J82" s="41" t="s">
        <v>75</v>
      </c>
      <c r="K82" s="41" t="s">
        <v>76</v>
      </c>
      <c r="L82" s="41" t="s">
        <v>253</v>
      </c>
      <c r="M82" s="28" t="b">
        <v>1</v>
      </c>
      <c r="N82" s="28" t="b">
        <v>1</v>
      </c>
      <c r="O82" s="28" t="b">
        <v>1</v>
      </c>
      <c r="P82" s="42" t="b">
        <v>1</v>
      </c>
      <c r="Q82" s="43" t="s">
        <v>47</v>
      </c>
      <c r="R82" s="21"/>
      <c r="S82" s="21"/>
      <c r="T82" s="21"/>
      <c r="U82" s="38"/>
      <c r="AA82" s="20"/>
    </row>
    <row r="83" ht="22.5" customHeight="1">
      <c r="A83" s="38" t="s">
        <v>545</v>
      </c>
      <c r="B83" s="32"/>
      <c r="C83" s="32" t="str">
        <f t="array" ref="C83">IF(A83="","",_xlfn.XLOOKUP(A83,Catalogo_BR!$A$2:$A$277,Catalogo_BR!$B$2:$B$277,"",0))</f>
        <v>Zillion II</v>
      </c>
      <c r="D83" s="32"/>
      <c r="E83" s="28" t="str">
        <f t="shared" si="1"/>
        <v>CIB</v>
      </c>
      <c r="F83" s="40" t="s">
        <v>53</v>
      </c>
      <c r="G83" s="41">
        <v>0.0</v>
      </c>
      <c r="H83" s="41">
        <v>4.0</v>
      </c>
      <c r="I83" s="42">
        <v>1987.0</v>
      </c>
      <c r="J83" s="41" t="s">
        <v>75</v>
      </c>
      <c r="K83" s="41" t="s">
        <v>127</v>
      </c>
      <c r="L83" s="41" t="s">
        <v>253</v>
      </c>
      <c r="M83" s="28" t="b">
        <v>1</v>
      </c>
      <c r="N83" s="28" t="b">
        <v>1</v>
      </c>
      <c r="O83" s="28" t="b">
        <v>1</v>
      </c>
      <c r="P83" s="42" t="b">
        <v>1</v>
      </c>
      <c r="Q83" s="43" t="s">
        <v>47</v>
      </c>
      <c r="R83" s="21"/>
      <c r="S83" s="21"/>
      <c r="T83" s="21"/>
      <c r="U83" s="38"/>
      <c r="AA83" s="20"/>
    </row>
    <row r="84" ht="22.5" customHeight="1">
      <c r="A84" s="38" t="s">
        <v>386</v>
      </c>
      <c r="B84" s="32"/>
      <c r="C84" s="32" t="str">
        <f t="array" ref="C84">IF(A84="","",_xlfn.XLOOKUP(A84,Catalogo_BR!$A$2:$A$277,Catalogo_BR!$B$2:$B$277,"",0))</f>
        <v>Olympic Gold</v>
      </c>
      <c r="D84" s="32"/>
      <c r="E84" s="28" t="str">
        <f t="shared" si="1"/>
        <v>CIB</v>
      </c>
      <c r="F84" s="40" t="s">
        <v>39</v>
      </c>
      <c r="G84" s="41">
        <v>0.0</v>
      </c>
      <c r="H84" s="41">
        <v>2.0</v>
      </c>
      <c r="I84" s="42">
        <v>1992.0</v>
      </c>
      <c r="J84" s="41" t="s">
        <v>75</v>
      </c>
      <c r="K84" s="41" t="s">
        <v>76</v>
      </c>
      <c r="L84" s="41" t="s">
        <v>253</v>
      </c>
      <c r="M84" s="28" t="b">
        <v>1</v>
      </c>
      <c r="N84" s="28" t="b">
        <v>1</v>
      </c>
      <c r="O84" s="28" t="b">
        <v>1</v>
      </c>
      <c r="P84" s="42" t="b">
        <v>1</v>
      </c>
      <c r="Q84" s="43" t="s">
        <v>47</v>
      </c>
      <c r="R84" s="21"/>
      <c r="S84" s="21"/>
      <c r="T84" s="21"/>
      <c r="U84" s="38"/>
      <c r="AA84" s="20"/>
    </row>
    <row r="85" ht="22.5" customHeight="1">
      <c r="A85" s="38" t="s">
        <v>449</v>
      </c>
      <c r="B85" s="32"/>
      <c r="C85" s="32" t="str">
        <f t="array" ref="C85">IF(A85="","",_xlfn.XLOOKUP(A85,Catalogo_BR!$A$2:$A$277,Catalogo_BR!$B$2:$B$277,"",0))</f>
        <v>Running Battle</v>
      </c>
      <c r="D85" s="32"/>
      <c r="E85" s="28" t="str">
        <f t="shared" si="1"/>
        <v>CIB</v>
      </c>
      <c r="F85" s="40" t="s">
        <v>39</v>
      </c>
      <c r="G85" s="41">
        <v>0.0</v>
      </c>
      <c r="H85" s="41">
        <v>3.0</v>
      </c>
      <c r="I85" s="42">
        <v>1991.0</v>
      </c>
      <c r="J85" s="41" t="s">
        <v>75</v>
      </c>
      <c r="K85" s="41" t="s">
        <v>76</v>
      </c>
      <c r="L85" s="41" t="s">
        <v>253</v>
      </c>
      <c r="M85" s="28" t="b">
        <v>1</v>
      </c>
      <c r="N85" s="28" t="b">
        <v>1</v>
      </c>
      <c r="O85" s="28" t="b">
        <v>1</v>
      </c>
      <c r="P85" s="42" t="b">
        <v>1</v>
      </c>
      <c r="Q85" s="43" t="s">
        <v>47</v>
      </c>
      <c r="R85" s="21"/>
      <c r="S85" s="21"/>
      <c r="T85" s="21"/>
      <c r="U85" s="38"/>
      <c r="AA85" s="20"/>
    </row>
    <row r="86" ht="22.5" customHeight="1">
      <c r="A86" s="38" t="s">
        <v>562</v>
      </c>
      <c r="B86" s="32"/>
      <c r="C86" s="32" t="str">
        <f t="array" ref="C86">IF(A86="","",_xlfn.XLOOKUP(A86,Catalogo_BR!$A$2:$A$277,Catalogo_BR!$B$2:$B$277,"",0))</f>
        <v>Última IV</v>
      </c>
      <c r="D86" s="32"/>
      <c r="E86" s="28" t="str">
        <f t="shared" si="1"/>
        <v>CIB</v>
      </c>
      <c r="F86" s="40" t="s">
        <v>39</v>
      </c>
      <c r="G86" s="41">
        <v>0.0</v>
      </c>
      <c r="H86" s="41">
        <v>5.0</v>
      </c>
      <c r="I86" s="42">
        <v>1990.0</v>
      </c>
      <c r="J86" s="41" t="s">
        <v>75</v>
      </c>
      <c r="K86" s="41" t="s">
        <v>76</v>
      </c>
      <c r="L86" s="41" t="s">
        <v>253</v>
      </c>
      <c r="M86" s="28" t="b">
        <v>1</v>
      </c>
      <c r="N86" s="28" t="b">
        <v>1</v>
      </c>
      <c r="O86" s="28" t="b">
        <v>1</v>
      </c>
      <c r="P86" s="42" t="b">
        <v>1</v>
      </c>
      <c r="Q86" s="43" t="s">
        <v>47</v>
      </c>
      <c r="R86" s="21"/>
      <c r="S86" s="21"/>
      <c r="T86" s="21"/>
      <c r="U86" s="38"/>
      <c r="AA86" s="20"/>
    </row>
    <row r="87" ht="22.5" customHeight="1">
      <c r="A87" s="38" t="s">
        <v>396</v>
      </c>
      <c r="B87" s="32"/>
      <c r="C87" s="32" t="str">
        <f t="array" ref="C87">IF(A87="","",_xlfn.XLOOKUP(A87,Catalogo_BR!$A$2:$A$277,Catalogo_BR!$B$2:$B$277,"",0))</f>
        <v>Out Run Europa</v>
      </c>
      <c r="D87" s="32"/>
      <c r="E87" s="28" t="str">
        <f t="shared" si="1"/>
        <v>CIB</v>
      </c>
      <c r="F87" s="40" t="s">
        <v>39</v>
      </c>
      <c r="G87" s="41">
        <v>0.0</v>
      </c>
      <c r="H87" s="41">
        <v>4.0</v>
      </c>
      <c r="I87" s="42">
        <v>1992.0</v>
      </c>
      <c r="J87" s="41" t="s">
        <v>75</v>
      </c>
      <c r="K87" s="41" t="s">
        <v>76</v>
      </c>
      <c r="L87" s="41" t="s">
        <v>253</v>
      </c>
      <c r="M87" s="28" t="b">
        <v>1</v>
      </c>
      <c r="N87" s="28" t="b">
        <v>1</v>
      </c>
      <c r="O87" s="28" t="b">
        <v>1</v>
      </c>
      <c r="P87" s="42" t="b">
        <v>1</v>
      </c>
      <c r="Q87" s="43" t="s">
        <v>47</v>
      </c>
      <c r="R87" s="21"/>
      <c r="S87" s="21"/>
      <c r="T87" s="21"/>
      <c r="U87" s="38"/>
      <c r="AA87" s="20"/>
    </row>
    <row r="88" ht="22.5" customHeight="1">
      <c r="A88" s="38" t="s">
        <v>219</v>
      </c>
      <c r="B88" s="32"/>
      <c r="C88" s="32" t="str">
        <f t="array" ref="C88">IF(A88="","",_xlfn.XLOOKUP(A88,Catalogo_BR!$A$2:$A$277,Catalogo_BR!$B$2:$B$277,"",0))</f>
        <v>E-SWAT</v>
      </c>
      <c r="D88" s="32"/>
      <c r="E88" s="28" t="str">
        <f t="shared" si="1"/>
        <v>CIB</v>
      </c>
      <c r="F88" s="40" t="s">
        <v>39</v>
      </c>
      <c r="G88" s="41">
        <v>0.0</v>
      </c>
      <c r="H88" s="41">
        <v>4.0</v>
      </c>
      <c r="I88" s="42">
        <v>1990.0</v>
      </c>
      <c r="J88" s="41" t="s">
        <v>75</v>
      </c>
      <c r="K88" s="41" t="s">
        <v>76</v>
      </c>
      <c r="L88" s="41" t="s">
        <v>253</v>
      </c>
      <c r="M88" s="28" t="b">
        <v>1</v>
      </c>
      <c r="N88" s="28" t="b">
        <v>1</v>
      </c>
      <c r="O88" s="28" t="b">
        <v>1</v>
      </c>
      <c r="P88" s="42" t="b">
        <v>1</v>
      </c>
      <c r="Q88" s="43" t="s">
        <v>47</v>
      </c>
      <c r="R88" s="21"/>
      <c r="S88" s="21"/>
      <c r="T88" s="21"/>
      <c r="U88" s="38"/>
      <c r="AA88" s="20"/>
    </row>
    <row r="89" ht="22.5" customHeight="1">
      <c r="A89" s="38" t="s">
        <v>359</v>
      </c>
      <c r="B89" s="32"/>
      <c r="C89" s="32" t="str">
        <f t="array" ref="C89">IF(A89="","",_xlfn.XLOOKUP(A89,Catalogo_BR!$A$2:$A$277,Catalogo_BR!$B$2:$B$277,"",0))</f>
        <v>Mercs</v>
      </c>
      <c r="D89" s="32"/>
      <c r="E89" s="28" t="str">
        <f t="shared" si="1"/>
        <v>CIB</v>
      </c>
      <c r="F89" s="40" t="s">
        <v>39</v>
      </c>
      <c r="G89" s="41">
        <v>0.0</v>
      </c>
      <c r="H89" s="41">
        <v>3.0</v>
      </c>
      <c r="I89" s="42">
        <v>1991.0</v>
      </c>
      <c r="J89" s="41" t="s">
        <v>75</v>
      </c>
      <c r="K89" s="41" t="s">
        <v>76</v>
      </c>
      <c r="L89" s="41" t="s">
        <v>253</v>
      </c>
      <c r="M89" s="28" t="b">
        <v>1</v>
      </c>
      <c r="N89" s="28" t="b">
        <v>1</v>
      </c>
      <c r="O89" s="28" t="b">
        <v>1</v>
      </c>
      <c r="P89" s="42" t="b">
        <v>1</v>
      </c>
      <c r="Q89" s="43" t="s">
        <v>47</v>
      </c>
      <c r="R89" s="21"/>
      <c r="S89" s="21"/>
      <c r="T89" s="21"/>
      <c r="U89" s="38"/>
      <c r="AA89" s="20"/>
    </row>
    <row r="90" ht="22.5" customHeight="1">
      <c r="A90" s="38" t="s">
        <v>210</v>
      </c>
      <c r="B90" s="32"/>
      <c r="C90" s="32" t="str">
        <f t="array" ref="C90">IF(A90="","",_xlfn.XLOOKUP(A90,Catalogo_BR!$A$2:$A$277,Catalogo_BR!$B$2:$B$277,"",0))</f>
        <v>Dynamite Duke</v>
      </c>
      <c r="D90" s="32"/>
      <c r="E90" s="28" t="str">
        <f t="shared" si="1"/>
        <v>CIB</v>
      </c>
      <c r="F90" s="40" t="s">
        <v>39</v>
      </c>
      <c r="G90" s="41">
        <v>0.0</v>
      </c>
      <c r="H90" s="41">
        <v>3.0</v>
      </c>
      <c r="I90" s="42">
        <v>1991.0</v>
      </c>
      <c r="J90" s="41" t="s">
        <v>75</v>
      </c>
      <c r="K90" s="41" t="s">
        <v>76</v>
      </c>
      <c r="L90" s="41" t="s">
        <v>253</v>
      </c>
      <c r="M90" s="28" t="b">
        <v>1</v>
      </c>
      <c r="N90" s="28" t="b">
        <v>1</v>
      </c>
      <c r="O90" s="28" t="b">
        <v>1</v>
      </c>
      <c r="P90" s="42" t="b">
        <v>1</v>
      </c>
      <c r="Q90" s="43" t="s">
        <v>47</v>
      </c>
      <c r="R90" s="21"/>
      <c r="S90" s="21"/>
      <c r="T90" s="21"/>
      <c r="U90" s="38"/>
      <c r="AA90" s="20"/>
    </row>
    <row r="91" ht="22.5" customHeight="1">
      <c r="A91" s="38" t="s">
        <v>449</v>
      </c>
      <c r="B91" s="32"/>
      <c r="C91" s="32" t="str">
        <f t="array" ref="C91">IF(A91="","",_xlfn.XLOOKUP(A91,Catalogo_BR!$A$2:$A$277,Catalogo_BR!$B$2:$B$277,"",0))</f>
        <v>Running Battle</v>
      </c>
      <c r="D91" s="32"/>
      <c r="E91" s="28" t="str">
        <f t="shared" si="1"/>
        <v>CIB</v>
      </c>
      <c r="F91" s="40" t="s">
        <v>39</v>
      </c>
      <c r="G91" s="41">
        <v>0.0</v>
      </c>
      <c r="H91" s="41">
        <v>3.0</v>
      </c>
      <c r="I91" s="42">
        <v>1991.0</v>
      </c>
      <c r="J91" s="41" t="s">
        <v>75</v>
      </c>
      <c r="K91" s="41" t="s">
        <v>76</v>
      </c>
      <c r="L91" s="41" t="s">
        <v>253</v>
      </c>
      <c r="M91" s="28" t="b">
        <v>1</v>
      </c>
      <c r="N91" s="28" t="b">
        <v>1</v>
      </c>
      <c r="O91" s="28" t="b">
        <v>1</v>
      </c>
      <c r="P91" s="42" t="b">
        <v>1</v>
      </c>
      <c r="Q91" s="43" t="s">
        <v>47</v>
      </c>
      <c r="R91" s="21"/>
      <c r="S91" s="21"/>
      <c r="T91" s="21"/>
      <c r="U91" s="38"/>
      <c r="AA91" s="20"/>
    </row>
    <row r="92" ht="22.5" customHeight="1">
      <c r="A92" s="38" t="s">
        <v>161</v>
      </c>
      <c r="B92" s="32"/>
      <c r="C92" s="32" t="str">
        <f t="array" ref="C92">IF(A92="","",_xlfn.XLOOKUP(A92,Catalogo_BR!$A$2:$A$277,Catalogo_BR!$B$2:$B$277,"",0))</f>
        <v>Castle of Illusion Estrelando Mickey Mouse</v>
      </c>
      <c r="D92" s="32"/>
      <c r="E92" s="28" t="str">
        <f t="shared" si="1"/>
        <v>Loose</v>
      </c>
      <c r="F92" s="40" t="s">
        <v>39</v>
      </c>
      <c r="G92" s="41">
        <v>0.0</v>
      </c>
      <c r="H92" s="41">
        <v>5.0</v>
      </c>
      <c r="I92" s="42">
        <v>1991.0</v>
      </c>
      <c r="J92" s="41" t="s">
        <v>46</v>
      </c>
      <c r="K92" s="41" t="s">
        <v>76</v>
      </c>
      <c r="L92" s="41" t="s">
        <v>253</v>
      </c>
      <c r="M92" s="28" t="b">
        <v>1</v>
      </c>
      <c r="N92" s="28" t="b">
        <v>0</v>
      </c>
      <c r="O92" s="28" t="b">
        <v>0</v>
      </c>
      <c r="P92" s="42" t="b">
        <v>0</v>
      </c>
      <c r="Q92" s="43" t="s">
        <v>47</v>
      </c>
      <c r="R92" s="21"/>
      <c r="S92" s="21"/>
      <c r="T92" s="21"/>
      <c r="U92" s="38"/>
      <c r="AA92" s="20"/>
    </row>
    <row r="93" ht="22.5" customHeight="1">
      <c r="A93" s="38" t="s">
        <v>449</v>
      </c>
      <c r="B93" s="32"/>
      <c r="C93" s="32" t="str">
        <f t="array" ref="C93">IF(A93="","",_xlfn.XLOOKUP(A93,Catalogo_BR!$A$2:$A$277,Catalogo_BR!$B$2:$B$277,"",0))</f>
        <v>Running Battle</v>
      </c>
      <c r="D93" s="32"/>
      <c r="E93" s="28" t="str">
        <f t="shared" si="1"/>
        <v>Loose</v>
      </c>
      <c r="F93" s="40" t="s">
        <v>39</v>
      </c>
      <c r="G93" s="41">
        <v>0.0</v>
      </c>
      <c r="H93" s="41">
        <v>3.0</v>
      </c>
      <c r="I93" s="42">
        <v>1991.0</v>
      </c>
      <c r="J93" s="41" t="s">
        <v>75</v>
      </c>
      <c r="K93" s="41" t="s">
        <v>76</v>
      </c>
      <c r="L93" s="41" t="s">
        <v>253</v>
      </c>
      <c r="M93" s="28" t="b">
        <v>1</v>
      </c>
      <c r="N93" s="28" t="b">
        <v>0</v>
      </c>
      <c r="O93" s="28" t="b">
        <v>0</v>
      </c>
      <c r="P93" s="42" t="b">
        <v>0</v>
      </c>
      <c r="Q93" s="43" t="s">
        <v>47</v>
      </c>
      <c r="R93" s="21"/>
      <c r="S93" s="21"/>
      <c r="T93" s="21"/>
      <c r="U93" s="38"/>
      <c r="AA93" s="20"/>
    </row>
    <row r="94" ht="22.5" customHeight="1">
      <c r="A94" s="38" t="s">
        <v>70</v>
      </c>
      <c r="B94" s="32"/>
      <c r="C94" s="32" t="str">
        <f t="array" ref="C94">IF(A94="","",_xlfn.XLOOKUP(A94,Catalogo_BR!$A$2:$A$277,Catalogo_BR!$B$2:$B$277,"",0))</f>
        <v>Alex Kidd In Shinobi World</v>
      </c>
      <c r="D94" s="32"/>
      <c r="E94" s="28" t="str">
        <f t="shared" si="1"/>
        <v>Loose</v>
      </c>
      <c r="F94" s="40" t="s">
        <v>53</v>
      </c>
      <c r="G94" s="41">
        <v>3.0</v>
      </c>
      <c r="H94" s="41">
        <v>4.0</v>
      </c>
      <c r="I94" s="42">
        <v>1990.0</v>
      </c>
      <c r="J94" s="41" t="s">
        <v>75</v>
      </c>
      <c r="K94" s="41" t="s">
        <v>76</v>
      </c>
      <c r="L94" s="41" t="s">
        <v>253</v>
      </c>
      <c r="M94" s="28" t="b">
        <v>1</v>
      </c>
      <c r="N94" s="28" t="b">
        <v>0</v>
      </c>
      <c r="O94" s="28" t="b">
        <v>0</v>
      </c>
      <c r="P94" s="42" t="b">
        <v>0</v>
      </c>
      <c r="Q94" s="43" t="s">
        <v>47</v>
      </c>
      <c r="R94" s="21"/>
      <c r="S94" s="21"/>
      <c r="T94" s="21"/>
      <c r="U94" s="38" t="s">
        <v>290</v>
      </c>
      <c r="AA94" s="20"/>
    </row>
    <row r="95" ht="22.5" customHeight="1">
      <c r="A95" s="38" t="s">
        <v>107</v>
      </c>
      <c r="B95" s="32"/>
      <c r="C95" s="32" t="str">
        <f t="array" ref="C95">IF(A95="","",_xlfn.XLOOKUP(A95,Catalogo_BR!$A$2:$A$277,Catalogo_BR!$B$2:$B$277,"",0))</f>
        <v>Assault City</v>
      </c>
      <c r="D95" s="32"/>
      <c r="E95" s="28" t="str">
        <f t="shared" si="1"/>
        <v>Loose</v>
      </c>
      <c r="F95" s="40" t="s">
        <v>53</v>
      </c>
      <c r="G95" s="41">
        <v>3.0</v>
      </c>
      <c r="H95" s="41">
        <v>2.0</v>
      </c>
      <c r="I95" s="42">
        <v>1990.0</v>
      </c>
      <c r="J95" s="41" t="s">
        <v>46</v>
      </c>
      <c r="K95" s="41" t="s">
        <v>76</v>
      </c>
      <c r="L95" s="41" t="s">
        <v>253</v>
      </c>
      <c r="M95" s="28" t="b">
        <v>1</v>
      </c>
      <c r="N95" s="28" t="b">
        <v>0</v>
      </c>
      <c r="O95" s="28" t="b">
        <v>0</v>
      </c>
      <c r="P95" s="42" t="b">
        <v>0</v>
      </c>
      <c r="Q95" s="43" t="s">
        <v>47</v>
      </c>
      <c r="R95" s="21"/>
      <c r="S95" s="21"/>
      <c r="T95" s="21"/>
      <c r="U95" s="38"/>
      <c r="AA95" s="20"/>
    </row>
    <row r="96" ht="22.5" customHeight="1">
      <c r="A96" s="38" t="s">
        <v>266</v>
      </c>
      <c r="B96" s="32"/>
      <c r="C96" s="32" t="str">
        <f t="array" ref="C96">IF(A96="","",_xlfn.XLOOKUP(A96,Catalogo_BR!$A$2:$A$277,Catalogo_BR!$B$2:$B$277,"",0))</f>
        <v>Gangster Town</v>
      </c>
      <c r="D96" s="32"/>
      <c r="E96" s="28" t="str">
        <f t="shared" si="1"/>
        <v>Loose</v>
      </c>
      <c r="F96" s="40" t="s">
        <v>53</v>
      </c>
      <c r="G96" s="41">
        <v>3.0</v>
      </c>
      <c r="H96" s="41">
        <v>3.0</v>
      </c>
      <c r="I96" s="42">
        <v>1987.0</v>
      </c>
      <c r="J96" s="41" t="s">
        <v>75</v>
      </c>
      <c r="K96" s="41" t="s">
        <v>76</v>
      </c>
      <c r="L96" s="41" t="s">
        <v>253</v>
      </c>
      <c r="M96" s="28" t="b">
        <v>1</v>
      </c>
      <c r="N96" s="28" t="b">
        <v>0</v>
      </c>
      <c r="O96" s="28" t="b">
        <v>0</v>
      </c>
      <c r="P96" s="42" t="b">
        <v>0</v>
      </c>
      <c r="Q96" s="43" t="s">
        <v>47</v>
      </c>
      <c r="R96" s="21"/>
      <c r="S96" s="21"/>
      <c r="T96" s="21"/>
      <c r="U96" s="38"/>
      <c r="AA96" s="20"/>
    </row>
    <row r="97" ht="22.5" customHeight="1">
      <c r="A97" s="38" t="s">
        <v>275</v>
      </c>
      <c r="B97" s="32"/>
      <c r="C97" s="32" t="str">
        <f t="array" ref="C97">IF(A97="","",_xlfn.XLOOKUP(A97,Catalogo_BR!$A$2:$A$277,Catalogo_BR!$B$2:$B$277,"",0))</f>
        <v>Ghostbusters</v>
      </c>
      <c r="D97" s="32"/>
      <c r="E97" s="28" t="str">
        <f t="shared" si="1"/>
        <v>Loose</v>
      </c>
      <c r="F97" s="40" t="s">
        <v>53</v>
      </c>
      <c r="G97" s="41">
        <v>3.0</v>
      </c>
      <c r="H97" s="41">
        <v>3.0</v>
      </c>
      <c r="I97" s="42">
        <v>1987.0</v>
      </c>
      <c r="J97" s="41" t="s">
        <v>75</v>
      </c>
      <c r="K97" s="41" t="s">
        <v>76</v>
      </c>
      <c r="L97" s="41" t="s">
        <v>253</v>
      </c>
      <c r="M97" s="28" t="b">
        <v>1</v>
      </c>
      <c r="N97" s="28" t="b">
        <v>0</v>
      </c>
      <c r="O97" s="28" t="b">
        <v>0</v>
      </c>
      <c r="P97" s="42" t="b">
        <v>0</v>
      </c>
      <c r="Q97" s="43" t="s">
        <v>47</v>
      </c>
      <c r="R97" s="21"/>
      <c r="S97" s="21"/>
      <c r="T97" s="21"/>
      <c r="U97" s="38"/>
      <c r="AA97" s="20"/>
    </row>
    <row r="98" ht="22.5" customHeight="1">
      <c r="A98" s="38" t="s">
        <v>438</v>
      </c>
      <c r="B98" s="32"/>
      <c r="C98" s="32" t="str">
        <f t="array" ref="C98">IF(A98="","",_xlfn.XLOOKUP(A98,Catalogo_BR!$A$2:$A$277,Catalogo_BR!$B$2:$B$277,"",0))</f>
        <v>Rescue Mission</v>
      </c>
      <c r="D98" s="32"/>
      <c r="E98" s="28" t="str">
        <f t="shared" si="1"/>
        <v>Loose</v>
      </c>
      <c r="F98" s="40" t="s">
        <v>53</v>
      </c>
      <c r="G98" s="41">
        <v>3.0</v>
      </c>
      <c r="H98" s="41">
        <v>3.0</v>
      </c>
      <c r="I98" s="42">
        <v>1988.0</v>
      </c>
      <c r="J98" s="41" t="s">
        <v>75</v>
      </c>
      <c r="K98" s="41" t="s">
        <v>76</v>
      </c>
      <c r="L98" s="41" t="s">
        <v>253</v>
      </c>
      <c r="M98" s="28" t="b">
        <v>1</v>
      </c>
      <c r="N98" s="28" t="b">
        <v>0</v>
      </c>
      <c r="O98" s="28" t="b">
        <v>0</v>
      </c>
      <c r="P98" s="42" t="b">
        <v>0</v>
      </c>
      <c r="Q98" s="43" t="s">
        <v>47</v>
      </c>
      <c r="R98" s="21"/>
      <c r="S98" s="21"/>
      <c r="T98" s="21"/>
      <c r="U98" s="38"/>
      <c r="AA98" s="20"/>
    </row>
    <row r="99" ht="22.5" customHeight="1">
      <c r="A99" s="38" t="s">
        <v>469</v>
      </c>
      <c r="B99" s="32"/>
      <c r="C99" s="32" t="str">
        <f t="array" ref="C99">IF(A99="","",_xlfn.XLOOKUP(A99,Catalogo_BR!$A$2:$A$277,Catalogo_BR!$B$2:$B$277,"",0))</f>
        <v>Shinobi</v>
      </c>
      <c r="D99" s="32"/>
      <c r="E99" s="28" t="str">
        <f t="shared" si="1"/>
        <v>Loose</v>
      </c>
      <c r="F99" s="40" t="s">
        <v>53</v>
      </c>
      <c r="G99" s="41">
        <v>3.0</v>
      </c>
      <c r="H99" s="41">
        <v>5.0</v>
      </c>
      <c r="I99" s="42">
        <v>1988.0</v>
      </c>
      <c r="J99" s="41" t="s">
        <v>46</v>
      </c>
      <c r="K99" s="41" t="s">
        <v>76</v>
      </c>
      <c r="L99" s="41" t="s">
        <v>253</v>
      </c>
      <c r="M99" s="28" t="b">
        <v>1</v>
      </c>
      <c r="N99" s="28" t="b">
        <v>0</v>
      </c>
      <c r="O99" s="28" t="b">
        <v>0</v>
      </c>
      <c r="P99" s="42" t="b">
        <v>0</v>
      </c>
      <c r="Q99" s="43" t="s">
        <v>47</v>
      </c>
      <c r="R99" s="21"/>
      <c r="S99" s="21"/>
      <c r="T99" s="21"/>
      <c r="U99" s="38"/>
      <c r="AA99" s="20"/>
    </row>
    <row r="100" ht="22.5" customHeight="1">
      <c r="A100" s="38" t="s">
        <v>181</v>
      </c>
      <c r="B100" s="32"/>
      <c r="C100" s="32" t="str">
        <f t="array" ref="C100">IF(A100="","",_xlfn.XLOOKUP(A100,Catalogo_BR!$A$2:$A$277,Catalogo_BR!$B$2:$B$277,"",0))</f>
        <v>Cyber Shinobi</v>
      </c>
      <c r="D100" s="32" t="s">
        <v>598</v>
      </c>
      <c r="E100" s="28" t="str">
        <f t="shared" si="1"/>
        <v>Loose</v>
      </c>
      <c r="F100" s="40" t="s">
        <v>39</v>
      </c>
      <c r="G100" s="41">
        <v>2.0</v>
      </c>
      <c r="H100" s="41">
        <v>3.0</v>
      </c>
      <c r="I100" s="42">
        <v>1991.0</v>
      </c>
      <c r="J100" s="41" t="s">
        <v>46</v>
      </c>
      <c r="K100" s="41" t="s">
        <v>76</v>
      </c>
      <c r="L100" s="41" t="s">
        <v>253</v>
      </c>
      <c r="M100" s="28" t="b">
        <v>1</v>
      </c>
      <c r="N100" s="28" t="b">
        <v>0</v>
      </c>
      <c r="O100" s="28" t="b">
        <v>0</v>
      </c>
      <c r="P100" s="42" t="b">
        <v>0</v>
      </c>
      <c r="Q100" s="43" t="s">
        <v>47</v>
      </c>
      <c r="R100" s="21"/>
      <c r="S100" s="21"/>
      <c r="T100" s="21"/>
      <c r="U100" s="38"/>
      <c r="AA100" s="20"/>
    </row>
    <row r="101" ht="22.5" customHeight="1">
      <c r="A101" s="38" t="s">
        <v>183</v>
      </c>
      <c r="B101" s="32"/>
      <c r="C101" s="32" t="str">
        <f t="array" ref="C101">IF(A101="","",_xlfn.XLOOKUP(A101,Catalogo_BR!$A$2:$A$277,Catalogo_BR!$B$2:$B$277,"",0))</f>
        <v>Cyborg Hunter</v>
      </c>
      <c r="D101" s="32"/>
      <c r="E101" s="28" t="str">
        <f t="shared" si="1"/>
        <v>Loose</v>
      </c>
      <c r="F101" s="40" t="s">
        <v>39</v>
      </c>
      <c r="G101" s="41">
        <v>2.0</v>
      </c>
      <c r="H101" s="41">
        <v>5.0</v>
      </c>
      <c r="I101" s="42">
        <v>1988.0</v>
      </c>
      <c r="J101" s="41" t="s">
        <v>46</v>
      </c>
      <c r="K101" s="41" t="s">
        <v>76</v>
      </c>
      <c r="L101" s="41" t="s">
        <v>253</v>
      </c>
      <c r="M101" s="28" t="b">
        <v>1</v>
      </c>
      <c r="N101" s="28" t="b">
        <v>0</v>
      </c>
      <c r="O101" s="28" t="b">
        <v>0</v>
      </c>
      <c r="P101" s="42" t="b">
        <v>0</v>
      </c>
      <c r="Q101" s="43" t="s">
        <v>47</v>
      </c>
      <c r="R101" s="21"/>
      <c r="S101" s="21"/>
      <c r="T101" s="21"/>
      <c r="U101" s="38"/>
      <c r="AA101" s="20"/>
    </row>
    <row r="102" ht="22.5" customHeight="1">
      <c r="A102" s="38" t="s">
        <v>155</v>
      </c>
      <c r="B102" s="32"/>
      <c r="C102" s="32" t="str">
        <f t="array" ref="C102">IF(A102="","",_xlfn.XLOOKUP(A102,Catalogo_BR!$A$2:$A$277,Catalogo_BR!$B$2:$B$277,"",0))</f>
        <v>Captain Silver</v>
      </c>
      <c r="D102" s="32"/>
      <c r="E102" s="28" t="str">
        <f t="shared" si="1"/>
        <v>Loose</v>
      </c>
      <c r="F102" s="40" t="s">
        <v>39</v>
      </c>
      <c r="G102" s="41">
        <v>3.0</v>
      </c>
      <c r="H102" s="41">
        <v>4.0</v>
      </c>
      <c r="I102" s="42">
        <v>1988.0</v>
      </c>
      <c r="J102" s="41" t="s">
        <v>46</v>
      </c>
      <c r="K102" s="41" t="s">
        <v>76</v>
      </c>
      <c r="L102" s="41" t="s">
        <v>253</v>
      </c>
      <c r="M102" s="28" t="b">
        <v>1</v>
      </c>
      <c r="N102" s="28" t="b">
        <v>0</v>
      </c>
      <c r="O102" s="28" t="b">
        <v>0</v>
      </c>
      <c r="P102" s="42" t="b">
        <v>0</v>
      </c>
      <c r="Q102" s="43" t="s">
        <v>47</v>
      </c>
      <c r="R102" s="21"/>
      <c r="S102" s="21"/>
      <c r="T102" s="21"/>
      <c r="U102" s="38"/>
      <c r="AA102" s="20"/>
    </row>
    <row r="103" ht="22.5" customHeight="1">
      <c r="A103" s="38" t="s">
        <v>493</v>
      </c>
      <c r="B103" s="32"/>
      <c r="C103" s="32" t="str">
        <f t="array" ref="C103">IF(A103="","",_xlfn.XLOOKUP(A103,Catalogo_BR!$A$2:$A$277,Catalogo_BR!$B$2:$B$277,"",0))</f>
        <v>Spy vs. Spy</v>
      </c>
      <c r="D103" s="32"/>
      <c r="E103" s="28" t="str">
        <f t="shared" si="1"/>
        <v>Loose</v>
      </c>
      <c r="F103" s="40" t="s">
        <v>39</v>
      </c>
      <c r="G103" s="41">
        <v>3.0</v>
      </c>
      <c r="H103" s="41">
        <v>4.0</v>
      </c>
      <c r="I103" s="42">
        <v>1986.0</v>
      </c>
      <c r="J103" s="41" t="s">
        <v>46</v>
      </c>
      <c r="K103" s="41" t="s">
        <v>76</v>
      </c>
      <c r="L103" s="41" t="s">
        <v>253</v>
      </c>
      <c r="M103" s="28" t="b">
        <v>1</v>
      </c>
      <c r="N103" s="28" t="b">
        <v>0</v>
      </c>
      <c r="O103" s="28" t="b">
        <v>0</v>
      </c>
      <c r="P103" s="42" t="b">
        <v>0</v>
      </c>
      <c r="Q103" s="43" t="s">
        <v>47</v>
      </c>
      <c r="R103" s="21"/>
      <c r="S103" s="21"/>
      <c r="T103" s="21"/>
      <c r="U103" s="38"/>
      <c r="AA103" s="20"/>
    </row>
    <row r="104" ht="22.5" customHeight="1">
      <c r="A104" s="38" t="s">
        <v>557</v>
      </c>
      <c r="B104" s="32"/>
      <c r="C104" s="32" t="str">
        <f t="array" ref="C104">IF(A104="","",_xlfn.XLOOKUP(A104,Catalogo_BR!$A$2:$A$277,Catalogo_BR!$B$2:$B$277,"",0))</f>
        <v>Time Soldiers</v>
      </c>
      <c r="D104" s="32"/>
      <c r="E104" s="28" t="str">
        <f t="shared" si="1"/>
        <v>Loose</v>
      </c>
      <c r="F104" s="40" t="s">
        <v>39</v>
      </c>
      <c r="G104" s="41">
        <v>3.0</v>
      </c>
      <c r="H104" s="41">
        <v>3.0</v>
      </c>
      <c r="I104" s="42">
        <v>1989.0</v>
      </c>
      <c r="J104" s="41" t="s">
        <v>75</v>
      </c>
      <c r="K104" s="41" t="s">
        <v>76</v>
      </c>
      <c r="L104" s="41" t="s">
        <v>253</v>
      </c>
      <c r="M104" s="28" t="b">
        <v>1</v>
      </c>
      <c r="N104" s="28" t="b">
        <v>0</v>
      </c>
      <c r="O104" s="28" t="b">
        <v>0</v>
      </c>
      <c r="P104" s="42" t="b">
        <v>0</v>
      </c>
      <c r="Q104" s="43" t="s">
        <v>47</v>
      </c>
      <c r="R104" s="21"/>
      <c r="S104" s="21"/>
      <c r="T104" s="21"/>
      <c r="U104" s="38"/>
      <c r="AA104" s="20"/>
    </row>
    <row r="105" ht="22.5" customHeight="1">
      <c r="A105" s="38" t="s">
        <v>557</v>
      </c>
      <c r="B105" s="32"/>
      <c r="C105" s="32" t="str">
        <f t="array" ref="C105">IF(A105="","",_xlfn.XLOOKUP(A105,Catalogo_BR!$A$2:$A$277,Catalogo_BR!$B$2:$B$277,"",0))</f>
        <v>Time Soldiers</v>
      </c>
      <c r="D105" s="32"/>
      <c r="E105" s="28" t="str">
        <f t="shared" si="1"/>
        <v>Loose</v>
      </c>
      <c r="F105" s="40" t="s">
        <v>39</v>
      </c>
      <c r="G105" s="41">
        <v>3.0</v>
      </c>
      <c r="H105" s="41">
        <v>3.0</v>
      </c>
      <c r="I105" s="42">
        <v>1989.0</v>
      </c>
      <c r="J105" s="41" t="s">
        <v>46</v>
      </c>
      <c r="K105" s="41" t="s">
        <v>76</v>
      </c>
      <c r="L105" s="41" t="s">
        <v>253</v>
      </c>
      <c r="M105" s="28" t="b">
        <v>1</v>
      </c>
      <c r="N105" s="28" t="b">
        <v>0</v>
      </c>
      <c r="O105" s="28" t="b">
        <v>0</v>
      </c>
      <c r="P105" s="42" t="b">
        <v>0</v>
      </c>
      <c r="Q105" s="43" t="s">
        <v>47</v>
      </c>
      <c r="R105" s="21"/>
      <c r="S105" s="21"/>
      <c r="T105" s="21"/>
      <c r="U105" s="38"/>
      <c r="AA105" s="20"/>
    </row>
    <row r="106" ht="22.5" customHeight="1">
      <c r="A106" s="38" t="s">
        <v>120</v>
      </c>
      <c r="B106" s="32"/>
      <c r="C106" s="32" t="str">
        <f t="array" ref="C106">IF(A106="","",_xlfn.XLOOKUP(A106,Catalogo_BR!$A$2:$A$277,Catalogo_BR!$B$2:$B$277,"",0))</f>
        <v>Astro Warrior</v>
      </c>
      <c r="D106" s="32"/>
      <c r="E106" s="28" t="str">
        <f t="shared" si="1"/>
        <v>Não possuo</v>
      </c>
      <c r="F106" s="40" t="s">
        <v>39</v>
      </c>
      <c r="G106" s="41">
        <v>1.0</v>
      </c>
      <c r="H106" s="41">
        <v>3.0</v>
      </c>
      <c r="I106" s="42">
        <v>1986.0</v>
      </c>
      <c r="J106" s="41" t="s">
        <v>75</v>
      </c>
      <c r="K106" s="41" t="s">
        <v>76</v>
      </c>
      <c r="L106" s="41" t="s">
        <v>253</v>
      </c>
      <c r="M106" s="28" t="b">
        <v>0</v>
      </c>
      <c r="N106" s="28" t="b">
        <v>0</v>
      </c>
      <c r="O106" s="28" t="b">
        <v>0</v>
      </c>
      <c r="P106" s="42" t="b">
        <v>0</v>
      </c>
      <c r="Q106" s="43" t="s">
        <v>47</v>
      </c>
      <c r="R106" s="21"/>
      <c r="S106" s="21"/>
      <c r="T106" s="21"/>
      <c r="U106" s="38"/>
      <c r="AA106" s="20"/>
    </row>
    <row r="107" ht="22.5" customHeight="1">
      <c r="A107" s="38" t="s">
        <v>347</v>
      </c>
      <c r="B107" s="32"/>
      <c r="C107" s="32" t="str">
        <f t="array" ref="C107">IF(A107="","",_xlfn.XLOOKUP(A107,Catalogo_BR!$A$2:$A$277,Catalogo_BR!$B$2:$B$277,"",0))</f>
        <v>Line of Fire</v>
      </c>
      <c r="D107" s="32"/>
      <c r="E107" s="28" t="str">
        <f t="shared" si="1"/>
        <v>Não possuo</v>
      </c>
      <c r="F107" s="40" t="s">
        <v>39</v>
      </c>
      <c r="G107" s="41">
        <v>1.0</v>
      </c>
      <c r="H107" s="41">
        <v>3.0</v>
      </c>
      <c r="I107" s="42">
        <v>1991.0</v>
      </c>
      <c r="J107" s="41" t="s">
        <v>75</v>
      </c>
      <c r="K107" s="41" t="s">
        <v>76</v>
      </c>
      <c r="L107" s="41" t="s">
        <v>253</v>
      </c>
      <c r="M107" s="28" t="b">
        <v>0</v>
      </c>
      <c r="N107" s="28" t="b">
        <v>0</v>
      </c>
      <c r="O107" s="28" t="b">
        <v>0</v>
      </c>
      <c r="P107" s="42" t="b">
        <v>0</v>
      </c>
      <c r="Q107" s="43" t="s">
        <v>47</v>
      </c>
      <c r="R107" s="21"/>
      <c r="S107" s="21"/>
      <c r="T107" s="21"/>
      <c r="U107" s="38"/>
      <c r="AA107" s="20"/>
    </row>
    <row r="108" ht="22.5" customHeight="1">
      <c r="A108" s="38" t="s">
        <v>428</v>
      </c>
      <c r="B108" s="32"/>
      <c r="C108" s="32" t="str">
        <f t="array" ref="C108">IF(A108="","",_xlfn.XLOOKUP(A108,Catalogo_BR!$A$2:$A$277,Catalogo_BR!$B$2:$B$277,"",0))</f>
        <v>R.C. Grand Prix</v>
      </c>
      <c r="D108" s="32"/>
      <c r="E108" s="28" t="str">
        <f t="shared" si="1"/>
        <v>Não possuo</v>
      </c>
      <c r="F108" s="40" t="s">
        <v>39</v>
      </c>
      <c r="G108" s="41">
        <v>1.0</v>
      </c>
      <c r="H108" s="41">
        <v>3.0</v>
      </c>
      <c r="I108" s="42">
        <v>1990.0</v>
      </c>
      <c r="J108" s="41" t="s">
        <v>75</v>
      </c>
      <c r="K108" s="41" t="s">
        <v>76</v>
      </c>
      <c r="L108" s="41" t="s">
        <v>253</v>
      </c>
      <c r="M108" s="28" t="b">
        <v>0</v>
      </c>
      <c r="N108" s="28" t="b">
        <v>0</v>
      </c>
      <c r="O108" s="28" t="b">
        <v>0</v>
      </c>
      <c r="P108" s="42" t="b">
        <v>0</v>
      </c>
      <c r="Q108" s="43" t="s">
        <v>47</v>
      </c>
      <c r="R108" s="21"/>
      <c r="S108" s="21"/>
      <c r="T108" s="21"/>
      <c r="U108" s="38"/>
      <c r="AA108" s="20"/>
    </row>
    <row r="109" ht="22.5" customHeight="1">
      <c r="A109" s="38" t="s">
        <v>273</v>
      </c>
      <c r="B109" s="32"/>
      <c r="C109" s="32" t="str">
        <f t="array" ref="C109">IF(A109="","",_xlfn.XLOOKUP(A109,Catalogo_BR!$A$2:$A$277,Catalogo_BR!$B$2:$B$277,"",0))</f>
        <v>Ghost House</v>
      </c>
      <c r="D109" s="32"/>
      <c r="E109" s="28" t="str">
        <f t="shared" si="1"/>
        <v>Não possuo</v>
      </c>
      <c r="F109" s="40" t="s">
        <v>39</v>
      </c>
      <c r="G109" s="41">
        <v>1.0</v>
      </c>
      <c r="H109" s="41">
        <v>2.0</v>
      </c>
      <c r="I109" s="42">
        <v>1986.0</v>
      </c>
      <c r="J109" s="41" t="s">
        <v>75</v>
      </c>
      <c r="K109" s="41" t="s">
        <v>76</v>
      </c>
      <c r="L109" s="41" t="s">
        <v>253</v>
      </c>
      <c r="M109" s="28" t="b">
        <v>0</v>
      </c>
      <c r="N109" s="28" t="b">
        <v>0</v>
      </c>
      <c r="O109" s="28" t="b">
        <v>0</v>
      </c>
      <c r="P109" s="42" t="b">
        <v>0</v>
      </c>
      <c r="Q109" s="43" t="s">
        <v>47</v>
      </c>
      <c r="R109" s="21"/>
      <c r="S109" s="21"/>
      <c r="T109" s="21"/>
      <c r="U109" s="38"/>
      <c r="AA109" s="20"/>
    </row>
    <row r="110" ht="22.5" customHeight="1">
      <c r="A110" s="38" t="s">
        <v>327</v>
      </c>
      <c r="B110" s="32"/>
      <c r="C110" s="32" t="str">
        <f t="array" ref="C110">IF(A110="","",_xlfn.XLOOKUP(A110,Catalogo_BR!$A$2:$A$277,Catalogo_BR!$B$2:$B$277,"",0))</f>
        <v>Jogos de Verão</v>
      </c>
      <c r="D110" s="32"/>
      <c r="E110" s="28" t="str">
        <f t="shared" si="1"/>
        <v>Não possuo</v>
      </c>
      <c r="F110" s="40" t="s">
        <v>39</v>
      </c>
      <c r="G110" s="41">
        <v>1.0</v>
      </c>
      <c r="H110" s="41">
        <v>5.0</v>
      </c>
      <c r="I110" s="42">
        <v>1989.0</v>
      </c>
      <c r="J110" s="41" t="s">
        <v>75</v>
      </c>
      <c r="K110" s="41" t="s">
        <v>76</v>
      </c>
      <c r="L110" s="41" t="s">
        <v>253</v>
      </c>
      <c r="M110" s="28" t="b">
        <v>0</v>
      </c>
      <c r="N110" s="28" t="b">
        <v>0</v>
      </c>
      <c r="O110" s="28" t="b">
        <v>0</v>
      </c>
      <c r="P110" s="42" t="b">
        <v>0</v>
      </c>
      <c r="Q110" s="43" t="s">
        <v>47</v>
      </c>
      <c r="R110" s="21"/>
      <c r="S110" s="21"/>
      <c r="T110" s="21"/>
      <c r="U110" s="38"/>
      <c r="AA110" s="20"/>
    </row>
    <row r="111" ht="22.5" customHeight="1">
      <c r="A111" s="38" t="s">
        <v>336</v>
      </c>
      <c r="B111" s="32"/>
      <c r="C111" s="32" t="str">
        <f t="array" ref="C111">IF(A111="","",_xlfn.XLOOKUP(A111,Catalogo_BR!$A$2:$A$277,Catalogo_BR!$B$2:$B$277,"",0))</f>
        <v>Kenseiden</v>
      </c>
      <c r="D111" s="32"/>
      <c r="E111" s="28" t="str">
        <f t="shared" si="1"/>
        <v>Não possuo</v>
      </c>
      <c r="F111" s="40" t="s">
        <v>39</v>
      </c>
      <c r="G111" s="41">
        <v>2.0</v>
      </c>
      <c r="H111" s="41">
        <v>5.0</v>
      </c>
      <c r="I111" s="42">
        <v>1988.0</v>
      </c>
      <c r="J111" s="41" t="s">
        <v>75</v>
      </c>
      <c r="K111" s="41" t="s">
        <v>76</v>
      </c>
      <c r="L111" s="41" t="s">
        <v>77</v>
      </c>
      <c r="M111" s="28" t="b">
        <v>0</v>
      </c>
      <c r="N111" s="28" t="b">
        <v>0</v>
      </c>
      <c r="O111" s="28" t="b">
        <v>0</v>
      </c>
      <c r="P111" s="42" t="b">
        <v>0</v>
      </c>
      <c r="Q111" s="43" t="s">
        <v>47</v>
      </c>
      <c r="R111" s="21"/>
      <c r="S111" s="21"/>
      <c r="T111" s="21"/>
      <c r="U111" s="38"/>
      <c r="AA111" s="20"/>
    </row>
    <row r="112" ht="22.5" customHeight="1">
      <c r="A112" s="38" t="s">
        <v>373</v>
      </c>
      <c r="B112" s="32"/>
      <c r="C112" s="32" t="str">
        <f t="array" ref="C112">IF(A112="","",_xlfn.XLOOKUP(A112,Catalogo_BR!$A$2:$A$277,Catalogo_BR!$B$2:$B$277,"",0))</f>
        <v>Moonwalker</v>
      </c>
      <c r="D112" s="32"/>
      <c r="E112" s="28" t="str">
        <f t="shared" si="1"/>
        <v>Não possuo</v>
      </c>
      <c r="F112" s="40" t="s">
        <v>39</v>
      </c>
      <c r="G112" s="41">
        <v>2.0</v>
      </c>
      <c r="H112" s="41">
        <v>4.0</v>
      </c>
      <c r="I112" s="42">
        <v>1990.0</v>
      </c>
      <c r="J112" s="41" t="s">
        <v>75</v>
      </c>
      <c r="K112" s="41" t="s">
        <v>76</v>
      </c>
      <c r="L112" s="41" t="s">
        <v>77</v>
      </c>
      <c r="M112" s="28" t="b">
        <v>0</v>
      </c>
      <c r="N112" s="28" t="b">
        <v>0</v>
      </c>
      <c r="O112" s="28" t="b">
        <v>0</v>
      </c>
      <c r="P112" s="42" t="b">
        <v>0</v>
      </c>
      <c r="Q112" s="43" t="s">
        <v>47</v>
      </c>
      <c r="R112" s="21"/>
      <c r="S112" s="21"/>
      <c r="T112" s="21"/>
      <c r="U112" s="38"/>
      <c r="AA112" s="20"/>
    </row>
    <row r="113" ht="22.5" customHeight="1">
      <c r="A113" s="38" t="s">
        <v>470</v>
      </c>
      <c r="B113" s="32"/>
      <c r="C113" s="32" t="str">
        <f t="array" ref="C113">IF(A113="","",_xlfn.XLOOKUP(A113,Catalogo_BR!$A$2:$A$277,Catalogo_BR!$B$2:$B$277,"",0))</f>
        <v>Shinobi</v>
      </c>
      <c r="D113" s="32"/>
      <c r="E113" s="28" t="str">
        <f t="shared" si="1"/>
        <v>Não possuo</v>
      </c>
      <c r="F113" s="40" t="s">
        <v>39</v>
      </c>
      <c r="G113" s="41">
        <v>2.0</v>
      </c>
      <c r="H113" s="41">
        <v>5.0</v>
      </c>
      <c r="I113" s="42">
        <v>1988.0</v>
      </c>
      <c r="J113" s="41" t="s">
        <v>75</v>
      </c>
      <c r="K113" s="41" t="s">
        <v>76</v>
      </c>
      <c r="L113" s="41" t="s">
        <v>253</v>
      </c>
      <c r="M113" s="28" t="b">
        <v>0</v>
      </c>
      <c r="N113" s="28" t="b">
        <v>0</v>
      </c>
      <c r="O113" s="28" t="b">
        <v>0</v>
      </c>
      <c r="P113" s="42" t="b">
        <v>0</v>
      </c>
      <c r="Q113" s="43" t="s">
        <v>47</v>
      </c>
      <c r="R113" s="21"/>
      <c r="S113" s="21"/>
      <c r="T113" s="21"/>
      <c r="U113" s="38"/>
      <c r="AA113" s="20"/>
    </row>
    <row r="114" ht="22.5" customHeight="1">
      <c r="A114" s="38" t="s">
        <v>369</v>
      </c>
      <c r="B114" s="32"/>
      <c r="C114" s="32" t="str">
        <f t="array" ref="C114">IF(A114="","",_xlfn.XLOOKUP(A114,Catalogo_BR!$A$2:$A$277,Catalogo_BR!$B$2:$B$277,"",0))</f>
        <v>Mônica no Castelo do Dragão</v>
      </c>
      <c r="D114" s="32"/>
      <c r="E114" s="28" t="str">
        <f t="shared" si="1"/>
        <v>CIB</v>
      </c>
      <c r="F114" s="40" t="s">
        <v>39</v>
      </c>
      <c r="G114" s="41">
        <v>2.0</v>
      </c>
      <c r="H114" s="41">
        <v>5.0</v>
      </c>
      <c r="I114" s="42">
        <v>1992.0</v>
      </c>
      <c r="J114" s="41" t="s">
        <v>75</v>
      </c>
      <c r="K114" s="41" t="s">
        <v>76</v>
      </c>
      <c r="L114" s="41" t="s">
        <v>253</v>
      </c>
      <c r="M114" s="28" t="b">
        <v>1</v>
      </c>
      <c r="N114" s="28" t="b">
        <v>1</v>
      </c>
      <c r="O114" s="28" t="b">
        <v>1</v>
      </c>
      <c r="P114" s="42" t="b">
        <v>1</v>
      </c>
      <c r="Q114" s="43" t="s">
        <v>47</v>
      </c>
      <c r="R114" s="21"/>
      <c r="S114" s="21"/>
      <c r="T114" s="21"/>
      <c r="U114" s="38"/>
      <c r="AA114" s="20"/>
    </row>
    <row r="115" ht="22.5" customHeight="1">
      <c r="A115" s="38" t="s">
        <v>267</v>
      </c>
      <c r="B115" s="32"/>
      <c r="C115" s="32" t="str">
        <f t="array" ref="C115">IF(A115="","",_xlfn.XLOOKUP(A115,Catalogo_BR!$A$2:$A$277,Catalogo_BR!$B$2:$B$277,"",0))</f>
        <v>Gauntlet</v>
      </c>
      <c r="D115" s="32"/>
      <c r="E115" s="28" t="str">
        <f t="shared" si="1"/>
        <v>Não possuo</v>
      </c>
      <c r="F115" s="40" t="s">
        <v>39</v>
      </c>
      <c r="G115" s="41">
        <v>2.0</v>
      </c>
      <c r="H115" s="41">
        <v>4.0</v>
      </c>
      <c r="I115" s="42">
        <v>1990.0</v>
      </c>
      <c r="J115" s="41" t="s">
        <v>75</v>
      </c>
      <c r="K115" s="41" t="s">
        <v>76</v>
      </c>
      <c r="L115" s="41" t="s">
        <v>253</v>
      </c>
      <c r="M115" s="28" t="b">
        <v>0</v>
      </c>
      <c r="N115" s="28" t="b">
        <v>0</v>
      </c>
      <c r="O115" s="28" t="b">
        <v>0</v>
      </c>
      <c r="P115" s="42" t="b">
        <v>0</v>
      </c>
      <c r="Q115" s="43" t="s">
        <v>47</v>
      </c>
      <c r="R115" s="21"/>
      <c r="S115" s="21"/>
      <c r="T115" s="21"/>
      <c r="U115" s="38"/>
      <c r="AA115" s="20"/>
    </row>
    <row r="116" ht="22.5" customHeight="1">
      <c r="A116" s="38" t="s">
        <v>122</v>
      </c>
      <c r="B116" s="32"/>
      <c r="C116" s="32" t="str">
        <f t="array" ref="C116">IF(A116="","",_xlfn.XLOOKUP(A116,Catalogo_BR!$A$2:$A$277,Catalogo_BR!$B$2:$B$277,"",0))</f>
        <v>Ayrton Senna's Super Monaco GP II</v>
      </c>
      <c r="D116" s="32"/>
      <c r="E116" s="28" t="str">
        <f t="shared" si="1"/>
        <v>Não possuo</v>
      </c>
      <c r="F116" s="40" t="s">
        <v>39</v>
      </c>
      <c r="G116" s="41">
        <v>2.0</v>
      </c>
      <c r="H116" s="41">
        <v>4.0</v>
      </c>
      <c r="I116" s="42">
        <v>1992.0</v>
      </c>
      <c r="J116" s="41" t="s">
        <v>75</v>
      </c>
      <c r="K116" s="41" t="s">
        <v>76</v>
      </c>
      <c r="L116" s="41" t="s">
        <v>253</v>
      </c>
      <c r="M116" s="28" t="b">
        <v>0</v>
      </c>
      <c r="N116" s="28" t="b">
        <v>0</v>
      </c>
      <c r="O116" s="28" t="b">
        <v>0</v>
      </c>
      <c r="P116" s="42" t="b">
        <v>0</v>
      </c>
      <c r="Q116" s="43" t="s">
        <v>47</v>
      </c>
      <c r="R116" s="21"/>
      <c r="S116" s="21"/>
      <c r="T116" s="21"/>
      <c r="U116" s="38"/>
      <c r="AA116" s="20"/>
    </row>
    <row r="117" ht="22.5" customHeight="1">
      <c r="A117" s="38" t="s">
        <v>289</v>
      </c>
      <c r="B117" s="32"/>
      <c r="C117" s="32" t="str">
        <f t="array" ref="C117">IF(A117="","",_xlfn.XLOOKUP(A117,Catalogo_BR!$A$2:$A$277,Catalogo_BR!$B$2:$B$277,"",0))</f>
        <v>Golden Axe</v>
      </c>
      <c r="D117" s="32"/>
      <c r="E117" s="28" t="str">
        <f t="shared" si="1"/>
        <v>Não possuo</v>
      </c>
      <c r="F117" s="40" t="s">
        <v>39</v>
      </c>
      <c r="G117" s="41">
        <v>2.0</v>
      </c>
      <c r="H117" s="41">
        <v>4.0</v>
      </c>
      <c r="I117" s="42">
        <v>1989.0</v>
      </c>
      <c r="J117" s="41" t="s">
        <v>75</v>
      </c>
      <c r="K117" s="41" t="s">
        <v>76</v>
      </c>
      <c r="L117" s="41" t="s">
        <v>253</v>
      </c>
      <c r="M117" s="28" t="b">
        <v>0</v>
      </c>
      <c r="N117" s="28" t="b">
        <v>0</v>
      </c>
      <c r="O117" s="28" t="b">
        <v>0</v>
      </c>
      <c r="P117" s="42" t="b">
        <v>0</v>
      </c>
      <c r="Q117" s="43" t="s">
        <v>47</v>
      </c>
      <c r="R117" s="21"/>
      <c r="S117" s="21"/>
      <c r="T117" s="21"/>
      <c r="U117" s="38"/>
      <c r="AA117" s="20"/>
    </row>
    <row r="118" ht="22.5" customHeight="1">
      <c r="A118" s="38" t="s">
        <v>150</v>
      </c>
      <c r="B118" s="32"/>
      <c r="C118" s="32" t="str">
        <f t="array" ref="C118">IF(A118="","",_xlfn.XLOOKUP(A118,Catalogo_BR!$A$2:$A$277,Catalogo_BR!$B$2:$B$277,"",0))</f>
        <v>Bonanza Brothers</v>
      </c>
      <c r="D118" s="32"/>
      <c r="E118" s="28" t="str">
        <f t="shared" si="1"/>
        <v>Não possuo</v>
      </c>
      <c r="F118" s="40" t="s">
        <v>39</v>
      </c>
      <c r="G118" s="41">
        <v>2.0</v>
      </c>
      <c r="H118" s="41">
        <v>3.0</v>
      </c>
      <c r="I118" s="42">
        <v>1991.0</v>
      </c>
      <c r="J118" s="41" t="s">
        <v>75</v>
      </c>
      <c r="K118" s="41" t="s">
        <v>76</v>
      </c>
      <c r="L118" s="41" t="s">
        <v>253</v>
      </c>
      <c r="M118" s="28" t="b">
        <v>0</v>
      </c>
      <c r="N118" s="28" t="b">
        <v>0</v>
      </c>
      <c r="O118" s="28" t="b">
        <v>0</v>
      </c>
      <c r="P118" s="42" t="b">
        <v>0</v>
      </c>
      <c r="Q118" s="43" t="s">
        <v>47</v>
      </c>
      <c r="R118" s="21"/>
      <c r="S118" s="21"/>
      <c r="T118" s="21"/>
      <c r="U118" s="38"/>
      <c r="AA118" s="20"/>
    </row>
    <row r="119" ht="22.5" customHeight="1">
      <c r="A119" s="38" t="s">
        <v>502</v>
      </c>
      <c r="B119" s="32"/>
      <c r="C119" s="32" t="str">
        <f t="array" ref="C119">IF(A119="","",_xlfn.XLOOKUP(A119,Catalogo_BR!$A$2:$A$277,Catalogo_BR!$B$2:$B$277,"",0))</f>
        <v>Strider</v>
      </c>
      <c r="D119" s="32"/>
      <c r="E119" s="28" t="str">
        <f t="shared" si="1"/>
        <v>Não possuo</v>
      </c>
      <c r="F119" s="40" t="s">
        <v>39</v>
      </c>
      <c r="G119" s="41">
        <v>2.0</v>
      </c>
      <c r="H119" s="41">
        <v>3.0</v>
      </c>
      <c r="I119" s="42">
        <v>1991.0</v>
      </c>
      <c r="J119" s="41" t="s">
        <v>75</v>
      </c>
      <c r="K119" s="41" t="s">
        <v>76</v>
      </c>
      <c r="L119" s="41" t="s">
        <v>253</v>
      </c>
      <c r="M119" s="28" t="b">
        <v>0</v>
      </c>
      <c r="N119" s="28" t="b">
        <v>0</v>
      </c>
      <c r="O119" s="28" t="b">
        <v>0</v>
      </c>
      <c r="P119" s="42" t="b">
        <v>0</v>
      </c>
      <c r="Q119" s="43" t="s">
        <v>47</v>
      </c>
      <c r="R119" s="21"/>
      <c r="S119" s="21"/>
      <c r="T119" s="21"/>
      <c r="U119" s="38"/>
      <c r="AA119" s="20"/>
    </row>
    <row r="120" ht="22.5" customHeight="1">
      <c r="A120" s="38" t="s">
        <v>585</v>
      </c>
      <c r="B120" s="32"/>
      <c r="C120" s="32" t="str">
        <f t="array" ref="C120">IF(A120="","",_xlfn.XLOOKUP(A120,Catalogo_BR!$A$2:$A$277,Catalogo_BR!$B$2:$B$277,"",0))</f>
        <v>World Games</v>
      </c>
      <c r="D120" s="32"/>
      <c r="E120" s="28" t="str">
        <f t="shared" si="1"/>
        <v>Não possuo</v>
      </c>
      <c r="F120" s="40" t="s">
        <v>39</v>
      </c>
      <c r="G120" s="41">
        <v>2.0</v>
      </c>
      <c r="H120" s="41">
        <v>2.0</v>
      </c>
      <c r="I120" s="42">
        <v>1990.0</v>
      </c>
      <c r="J120" s="41" t="s">
        <v>75</v>
      </c>
      <c r="K120" s="41" t="s">
        <v>76</v>
      </c>
      <c r="L120" s="41" t="s">
        <v>599</v>
      </c>
      <c r="M120" s="28" t="b">
        <v>0</v>
      </c>
      <c r="N120" s="28" t="b">
        <v>0</v>
      </c>
      <c r="O120" s="28" t="b">
        <v>0</v>
      </c>
      <c r="P120" s="42" t="b">
        <v>0</v>
      </c>
      <c r="Q120" s="43" t="s">
        <v>47</v>
      </c>
      <c r="R120" s="21"/>
      <c r="S120" s="21"/>
      <c r="T120" s="21"/>
      <c r="U120" s="38"/>
      <c r="AA120" s="20"/>
    </row>
    <row r="121" ht="22.5" customHeight="1">
      <c r="A121" s="38" t="s">
        <v>436</v>
      </c>
      <c r="B121" s="32"/>
      <c r="C121" s="32" t="str">
        <f t="array" ref="C121">IF(A121="","",_xlfn.XLOOKUP(A121,Catalogo_BR!$A$2:$A$277,Catalogo_BR!$B$2:$B$277,"",0))</f>
        <v>Renegade</v>
      </c>
      <c r="D121" s="32"/>
      <c r="E121" s="28" t="str">
        <f t="shared" si="1"/>
        <v>Não possuo</v>
      </c>
      <c r="F121" s="40" t="s">
        <v>140</v>
      </c>
      <c r="G121" s="41">
        <v>2.0</v>
      </c>
      <c r="H121" s="41">
        <v>3.0</v>
      </c>
      <c r="I121" s="42">
        <v>1993.0</v>
      </c>
      <c r="J121" s="41" t="s">
        <v>75</v>
      </c>
      <c r="K121" s="41" t="s">
        <v>76</v>
      </c>
      <c r="L121" s="41" t="s">
        <v>253</v>
      </c>
      <c r="M121" s="28" t="b">
        <v>0</v>
      </c>
      <c r="N121" s="28" t="b">
        <v>0</v>
      </c>
      <c r="O121" s="28" t="b">
        <v>0</v>
      </c>
      <c r="P121" s="42" t="b">
        <v>0</v>
      </c>
      <c r="Q121" s="43" t="s">
        <v>47</v>
      </c>
      <c r="R121" s="21"/>
      <c r="S121" s="21"/>
      <c r="T121" s="21"/>
      <c r="U121" s="38"/>
      <c r="AA121" s="20"/>
    </row>
    <row r="122" ht="22.5" customHeight="1">
      <c r="A122" s="38" t="s">
        <v>73</v>
      </c>
      <c r="B122" s="32"/>
      <c r="C122" s="32" t="str">
        <f t="array" ref="C122">IF(A122="","",_xlfn.XLOOKUP(A122,Catalogo_BR!$A$2:$A$277,Catalogo_BR!$B$2:$B$277,"",0))</f>
        <v>Alex Kidd: The Lost Stars</v>
      </c>
      <c r="D122" s="32"/>
      <c r="E122" s="28" t="str">
        <f t="shared" si="1"/>
        <v>Não possuo</v>
      </c>
      <c r="F122" s="40" t="s">
        <v>53</v>
      </c>
      <c r="G122" s="41">
        <v>2.0</v>
      </c>
      <c r="H122" s="41">
        <v>2.0</v>
      </c>
      <c r="I122" s="42">
        <v>1988.0</v>
      </c>
      <c r="J122" s="41" t="s">
        <v>75</v>
      </c>
      <c r="K122" s="41" t="s">
        <v>76</v>
      </c>
      <c r="L122" s="41" t="s">
        <v>253</v>
      </c>
      <c r="M122" s="28" t="b">
        <v>0</v>
      </c>
      <c r="N122" s="28" t="b">
        <v>0</v>
      </c>
      <c r="O122" s="28" t="b">
        <v>0</v>
      </c>
      <c r="P122" s="42" t="b">
        <v>0</v>
      </c>
      <c r="Q122" s="43" t="s">
        <v>47</v>
      </c>
      <c r="R122" s="21"/>
      <c r="S122" s="21"/>
      <c r="T122" s="21"/>
      <c r="U122" s="38"/>
      <c r="AA122" s="20"/>
    </row>
    <row r="123" ht="22.5" customHeight="1">
      <c r="A123" s="38" t="s">
        <v>101</v>
      </c>
      <c r="B123" s="32"/>
      <c r="C123" s="32" t="str">
        <f t="array" ref="C123">IF(A123="","",_xlfn.XLOOKUP(A123,Catalogo_BR!$A$2:$A$277,Catalogo_BR!$B$2:$B$277,"",0))</f>
        <v>Ariel The Little Mermaid</v>
      </c>
      <c r="D123" s="32"/>
      <c r="E123" s="28" t="str">
        <f t="shared" si="1"/>
        <v>Não possuo</v>
      </c>
      <c r="F123" s="40" t="s">
        <v>89</v>
      </c>
      <c r="G123" s="41">
        <v>3.0</v>
      </c>
      <c r="H123" s="41">
        <v>2.0</v>
      </c>
      <c r="I123" s="42">
        <v>1996.0</v>
      </c>
      <c r="J123" s="41" t="s">
        <v>75</v>
      </c>
      <c r="K123" s="41" t="s">
        <v>76</v>
      </c>
      <c r="L123" s="41" t="s">
        <v>253</v>
      </c>
      <c r="M123" s="28" t="b">
        <v>0</v>
      </c>
      <c r="N123" s="28" t="b">
        <v>0</v>
      </c>
      <c r="O123" s="28" t="b">
        <v>0</v>
      </c>
      <c r="P123" s="42" t="b">
        <v>0</v>
      </c>
      <c r="Q123" s="43" t="s">
        <v>47</v>
      </c>
      <c r="R123" s="21"/>
      <c r="S123" s="21"/>
      <c r="T123" s="21"/>
      <c r="U123" s="38"/>
      <c r="AA123" s="20"/>
    </row>
    <row r="124" ht="22.5" customHeight="1">
      <c r="A124" s="38" t="s">
        <v>104</v>
      </c>
      <c r="B124" s="32"/>
      <c r="C124" s="32" t="str">
        <f t="array" ref="C124">IF(A124="","",_xlfn.XLOOKUP(A124,Catalogo_BR!$A$2:$A$277,Catalogo_BR!$B$2:$B$277,"",0))</f>
        <v>As Aventuras da TV Colosso</v>
      </c>
      <c r="D124" s="32"/>
      <c r="E124" s="28" t="str">
        <f t="shared" si="1"/>
        <v>Não possuo</v>
      </c>
      <c r="F124" s="40" t="s">
        <v>89</v>
      </c>
      <c r="G124" s="41">
        <v>3.0</v>
      </c>
      <c r="H124" s="41">
        <v>1.0</v>
      </c>
      <c r="I124" s="42">
        <v>1996.0</v>
      </c>
      <c r="J124" s="41" t="s">
        <v>75</v>
      </c>
      <c r="K124" s="41" t="s">
        <v>76</v>
      </c>
      <c r="L124" s="41" t="s">
        <v>253</v>
      </c>
      <c r="M124" s="28" t="b">
        <v>0</v>
      </c>
      <c r="N124" s="28" t="b">
        <v>0</v>
      </c>
      <c r="O124" s="28" t="b">
        <v>0</v>
      </c>
      <c r="P124" s="42" t="b">
        <v>0</v>
      </c>
      <c r="Q124" s="43" t="s">
        <v>47</v>
      </c>
      <c r="R124" s="21"/>
      <c r="S124" s="21"/>
      <c r="T124" s="21"/>
      <c r="U124" s="38"/>
      <c r="AA124" s="20"/>
    </row>
    <row r="125" ht="22.5" customHeight="1">
      <c r="A125" s="38" t="s">
        <v>111</v>
      </c>
      <c r="B125" s="32"/>
      <c r="C125" s="32" t="str">
        <f t="array" ref="C125">IF(A125="","",_xlfn.XLOOKUP(A125,Catalogo_BR!$A$2:$A$277,Catalogo_BR!$B$2:$B$277,"",0))</f>
        <v>Asterix and the Great Rescue</v>
      </c>
      <c r="D125" s="32"/>
      <c r="E125" s="28" t="str">
        <f t="shared" si="1"/>
        <v>Não possuo</v>
      </c>
      <c r="F125" s="40" t="s">
        <v>100</v>
      </c>
      <c r="G125" s="41">
        <v>3.0</v>
      </c>
      <c r="H125" s="41">
        <v>4.0</v>
      </c>
      <c r="I125" s="42">
        <v>1994.0</v>
      </c>
      <c r="J125" s="41" t="s">
        <v>75</v>
      </c>
      <c r="K125" s="41" t="s">
        <v>76</v>
      </c>
      <c r="L125" s="41" t="s">
        <v>253</v>
      </c>
      <c r="M125" s="28" t="b">
        <v>0</v>
      </c>
      <c r="N125" s="28" t="b">
        <v>0</v>
      </c>
      <c r="O125" s="28" t="b">
        <v>0</v>
      </c>
      <c r="P125" s="42" t="b">
        <v>0</v>
      </c>
      <c r="Q125" s="43" t="s">
        <v>47</v>
      </c>
      <c r="R125" s="21"/>
      <c r="S125" s="21"/>
      <c r="T125" s="21"/>
      <c r="U125" s="38"/>
      <c r="AA125" s="20"/>
    </row>
    <row r="126" ht="22.5" customHeight="1">
      <c r="A126" s="38" t="s">
        <v>131</v>
      </c>
      <c r="B126" s="32"/>
      <c r="C126" s="32" t="str">
        <f t="array" ref="C126">IF(A126="","",_xlfn.XLOOKUP(A126,Catalogo_BR!$A$2:$A$277,Catalogo_BR!$B$2:$B$277,"",0))</f>
        <v>Baku Baku</v>
      </c>
      <c r="D126" s="32"/>
      <c r="E126" s="28" t="str">
        <f t="shared" si="1"/>
        <v>Não possuo</v>
      </c>
      <c r="F126" s="40" t="s">
        <v>89</v>
      </c>
      <c r="G126" s="41">
        <v>3.0</v>
      </c>
      <c r="H126" s="41">
        <v>2.0</v>
      </c>
      <c r="I126" s="42">
        <v>1996.0</v>
      </c>
      <c r="J126" s="41" t="s">
        <v>75</v>
      </c>
      <c r="K126" s="41" t="s">
        <v>76</v>
      </c>
      <c r="L126" s="41" t="s">
        <v>253</v>
      </c>
      <c r="M126" s="28" t="b">
        <v>0</v>
      </c>
      <c r="N126" s="28" t="b">
        <v>0</v>
      </c>
      <c r="O126" s="28" t="b">
        <v>0</v>
      </c>
      <c r="P126" s="42" t="b">
        <v>0</v>
      </c>
      <c r="Q126" s="43" t="s">
        <v>47</v>
      </c>
      <c r="R126" s="21"/>
      <c r="S126" s="21"/>
      <c r="T126" s="21"/>
      <c r="U126" s="38"/>
      <c r="AA126" s="20"/>
    </row>
    <row r="127" ht="22.5" customHeight="1">
      <c r="A127" s="38" t="s">
        <v>141</v>
      </c>
      <c r="B127" s="32"/>
      <c r="C127" s="32" t="str">
        <f t="array" ref="C127">IF(A127="","",_xlfn.XLOOKUP(A127,Catalogo_BR!$A$2:$A$277,Catalogo_BR!$B$2:$B$277,"",0))</f>
        <v>Battle OutRun</v>
      </c>
      <c r="D127" s="32"/>
      <c r="E127" s="28" t="str">
        <f t="shared" si="1"/>
        <v>Não possuo</v>
      </c>
      <c r="F127" s="40" t="s">
        <v>53</v>
      </c>
      <c r="G127" s="41">
        <v>3.0</v>
      </c>
      <c r="H127" s="41">
        <v>3.0</v>
      </c>
      <c r="I127" s="42">
        <v>1989.0</v>
      </c>
      <c r="J127" s="41" t="s">
        <v>75</v>
      </c>
      <c r="K127" s="41" t="s">
        <v>76</v>
      </c>
      <c r="L127" s="41" t="s">
        <v>253</v>
      </c>
      <c r="M127" s="28" t="b">
        <v>0</v>
      </c>
      <c r="N127" s="28" t="b">
        <v>0</v>
      </c>
      <c r="O127" s="28" t="b">
        <v>0</v>
      </c>
      <c r="P127" s="42" t="b">
        <v>0</v>
      </c>
      <c r="Q127" s="43" t="s">
        <v>47</v>
      </c>
      <c r="R127" s="21"/>
      <c r="S127" s="21"/>
      <c r="T127" s="21"/>
      <c r="U127" s="38"/>
      <c r="AA127" s="20"/>
    </row>
    <row r="128" ht="22.5" customHeight="1">
      <c r="A128" s="38" t="s">
        <v>143</v>
      </c>
      <c r="B128" s="32"/>
      <c r="C128" s="32" t="str">
        <f t="array" ref="C128">IF(A128="","",_xlfn.XLOOKUP(A128,Catalogo_BR!$A$2:$A$277,Catalogo_BR!$B$2:$B$277,"",0))</f>
        <v>Battlemaniacs</v>
      </c>
      <c r="D128" s="32"/>
      <c r="E128" s="28" t="str">
        <f t="shared" si="1"/>
        <v>Não possuo</v>
      </c>
      <c r="F128" s="40" t="s">
        <v>89</v>
      </c>
      <c r="G128" s="41">
        <v>3.0</v>
      </c>
      <c r="H128" s="41">
        <v>4.0</v>
      </c>
      <c r="I128" s="42">
        <v>1996.0</v>
      </c>
      <c r="J128" s="41" t="s">
        <v>75</v>
      </c>
      <c r="K128" s="41" t="s">
        <v>76</v>
      </c>
      <c r="L128" s="41" t="s">
        <v>253</v>
      </c>
      <c r="M128" s="28" t="b">
        <v>0</v>
      </c>
      <c r="N128" s="28" t="b">
        <v>0</v>
      </c>
      <c r="O128" s="28" t="b">
        <v>0</v>
      </c>
      <c r="P128" s="42" t="b">
        <v>0</v>
      </c>
      <c r="Q128" s="43" t="s">
        <v>47</v>
      </c>
      <c r="R128" s="21"/>
      <c r="S128" s="21"/>
      <c r="T128" s="21"/>
      <c r="U128" s="38"/>
      <c r="AA128" s="20"/>
    </row>
    <row r="129" ht="22.5" customHeight="1">
      <c r="A129" s="38" t="s">
        <v>114</v>
      </c>
      <c r="B129" s="32"/>
      <c r="C129" s="32" t="str">
        <f t="array" ref="C129">IF(A129="","",_xlfn.XLOOKUP(A129,Catalogo_BR!$A$2:$A$277,Catalogo_BR!$B$2:$B$277,"",0))</f>
        <v>Astérix and the Secret Mission</v>
      </c>
      <c r="D129" s="32"/>
      <c r="E129" s="28" t="str">
        <f t="shared" si="1"/>
        <v>Não possuo</v>
      </c>
      <c r="F129" s="40" t="s">
        <v>100</v>
      </c>
      <c r="G129" s="41">
        <v>3.0</v>
      </c>
      <c r="H129" s="41">
        <v>4.0</v>
      </c>
      <c r="I129" s="42">
        <v>1994.0</v>
      </c>
      <c r="J129" s="41" t="s">
        <v>75</v>
      </c>
      <c r="K129" s="41" t="s">
        <v>76</v>
      </c>
      <c r="L129" s="41" t="s">
        <v>253</v>
      </c>
      <c r="M129" s="28" t="b">
        <v>0</v>
      </c>
      <c r="N129" s="28" t="b">
        <v>0</v>
      </c>
      <c r="O129" s="28" t="b">
        <v>0</v>
      </c>
      <c r="P129" s="42" t="b">
        <v>0</v>
      </c>
      <c r="Q129" s="43" t="s">
        <v>47</v>
      </c>
      <c r="R129" s="21"/>
      <c r="S129" s="21"/>
      <c r="T129" s="21"/>
      <c r="U129" s="38"/>
      <c r="AA129" s="20"/>
    </row>
    <row r="130" ht="22.5" customHeight="1">
      <c r="A130" s="38" t="s">
        <v>167</v>
      </c>
      <c r="B130" s="32"/>
      <c r="C130" s="32" t="str">
        <f t="array" ref="C130">IF(A130="","",_xlfn.XLOOKUP(A130,Catalogo_BR!$A$2:$A$277,Catalogo_BR!$B$2:$B$277,"",0))</f>
        <v>Cheese Cat-Astrophe estrelando Speedy Gonzales</v>
      </c>
      <c r="D130" s="32"/>
      <c r="E130" s="28" t="str">
        <f t="shared" si="1"/>
        <v>Não possuo</v>
      </c>
      <c r="F130" s="40" t="s">
        <v>89</v>
      </c>
      <c r="G130" s="41">
        <v>3.0</v>
      </c>
      <c r="H130" s="41">
        <v>3.0</v>
      </c>
      <c r="I130" s="42">
        <v>1995.0</v>
      </c>
      <c r="J130" s="41" t="s">
        <v>75</v>
      </c>
      <c r="K130" s="41" t="s">
        <v>76</v>
      </c>
      <c r="L130" s="41" t="s">
        <v>253</v>
      </c>
      <c r="M130" s="28" t="b">
        <v>0</v>
      </c>
      <c r="N130" s="28" t="b">
        <v>0</v>
      </c>
      <c r="O130" s="28" t="b">
        <v>0</v>
      </c>
      <c r="P130" s="42" t="b">
        <v>0</v>
      </c>
      <c r="Q130" s="43" t="s">
        <v>47</v>
      </c>
      <c r="R130" s="21"/>
      <c r="S130" s="21"/>
      <c r="T130" s="21"/>
      <c r="U130" s="38"/>
      <c r="AA130" s="20"/>
    </row>
    <row r="131" ht="22.5" customHeight="1">
      <c r="A131" s="38" t="s">
        <v>165</v>
      </c>
      <c r="B131" s="32"/>
      <c r="C131" s="32" t="str">
        <f t="array" ref="C131">IF(A131="","",_xlfn.XLOOKUP(A131,Catalogo_BR!$A$2:$A$277,Catalogo_BR!$B$2:$B$277,"",0))</f>
        <v>Chapolim x Drácula: Um Duelo Assustador</v>
      </c>
      <c r="D131" s="32"/>
      <c r="E131" s="28" t="str">
        <f t="shared" si="1"/>
        <v>Não possuo</v>
      </c>
      <c r="F131" s="40" t="s">
        <v>100</v>
      </c>
      <c r="G131" s="41">
        <v>3.0</v>
      </c>
      <c r="H131" s="41">
        <v>2.0</v>
      </c>
      <c r="I131" s="42">
        <v>1993.0</v>
      </c>
      <c r="J131" s="41" t="s">
        <v>75</v>
      </c>
      <c r="K131" s="41" t="s">
        <v>76</v>
      </c>
      <c r="L131" s="41" t="s">
        <v>253</v>
      </c>
      <c r="M131" s="28" t="b">
        <v>0</v>
      </c>
      <c r="N131" s="28" t="b">
        <v>0</v>
      </c>
      <c r="O131" s="28" t="b">
        <v>0</v>
      </c>
      <c r="P131" s="42" t="b">
        <v>0</v>
      </c>
      <c r="Q131" s="43" t="s">
        <v>47</v>
      </c>
      <c r="R131" s="21"/>
      <c r="S131" s="21"/>
      <c r="T131" s="21"/>
      <c r="U131" s="38"/>
      <c r="AA131" s="20"/>
    </row>
    <row r="132" ht="22.5" customHeight="1">
      <c r="A132" s="38" t="s">
        <v>174</v>
      </c>
      <c r="B132" s="32"/>
      <c r="C132" s="32" t="str">
        <f t="array" ref="C132">IF(A132="","",_xlfn.XLOOKUP(A132,Catalogo_BR!$A$2:$A$277,Catalogo_BR!$B$2:$B$277,"",0))</f>
        <v>Chuck Rock II: Son of Chuck</v>
      </c>
      <c r="D132" s="32"/>
      <c r="E132" s="28" t="str">
        <f t="shared" si="1"/>
        <v>Não possuo</v>
      </c>
      <c r="F132" s="40" t="s">
        <v>100</v>
      </c>
      <c r="G132" s="41">
        <v>3.0</v>
      </c>
      <c r="H132" s="41">
        <v>3.0</v>
      </c>
      <c r="I132" s="42">
        <v>1993.0</v>
      </c>
      <c r="J132" s="41" t="s">
        <v>75</v>
      </c>
      <c r="K132" s="41" t="s">
        <v>76</v>
      </c>
      <c r="L132" s="41" t="s">
        <v>253</v>
      </c>
      <c r="M132" s="28" t="b">
        <v>0</v>
      </c>
      <c r="N132" s="28" t="b">
        <v>0</v>
      </c>
      <c r="O132" s="28" t="b">
        <v>0</v>
      </c>
      <c r="P132" s="42" t="b">
        <v>0</v>
      </c>
      <c r="Q132" s="43" t="s">
        <v>47</v>
      </c>
      <c r="R132" s="21"/>
      <c r="S132" s="21"/>
      <c r="T132" s="21"/>
      <c r="U132" s="38"/>
      <c r="AA132" s="20"/>
    </row>
    <row r="133" ht="22.5" customHeight="1">
      <c r="A133" s="38" t="s">
        <v>179</v>
      </c>
      <c r="B133" s="32"/>
      <c r="C133" s="32" t="str">
        <f t="array" ref="C133">IF(A133="","",_xlfn.XLOOKUP(A133,Catalogo_BR!$A$2:$A$277,Catalogo_BR!$B$2:$B$277,"",0))</f>
        <v>Crash Dummies</v>
      </c>
      <c r="D133" s="32"/>
      <c r="E133" s="28" t="str">
        <f t="shared" si="1"/>
        <v>Não possuo</v>
      </c>
      <c r="F133" s="40" t="s">
        <v>100</v>
      </c>
      <c r="G133" s="41">
        <v>3.0</v>
      </c>
      <c r="H133" s="41">
        <v>3.0</v>
      </c>
      <c r="I133" s="42">
        <v>1993.0</v>
      </c>
      <c r="J133" s="41" t="s">
        <v>75</v>
      </c>
      <c r="K133" s="41" t="s">
        <v>76</v>
      </c>
      <c r="L133" s="41" t="s">
        <v>253</v>
      </c>
      <c r="M133" s="28" t="b">
        <v>0</v>
      </c>
      <c r="N133" s="28" t="b">
        <v>0</v>
      </c>
      <c r="O133" s="28" t="b">
        <v>0</v>
      </c>
      <c r="P133" s="42" t="b">
        <v>0</v>
      </c>
      <c r="Q133" s="43" t="s">
        <v>47</v>
      </c>
      <c r="R133" s="21"/>
      <c r="S133" s="21"/>
      <c r="T133" s="21"/>
      <c r="U133" s="38"/>
      <c r="AA133" s="20"/>
    </row>
    <row r="134" ht="22.5" customHeight="1">
      <c r="A134" s="38" t="s">
        <v>185</v>
      </c>
      <c r="B134" s="32"/>
      <c r="C134" s="32" t="str">
        <f t="array" ref="C134">IF(A134="","",_xlfn.XLOOKUP(A134,Catalogo_BR!$A$2:$A$277,Catalogo_BR!$B$2:$B$277,"",0))</f>
        <v>Daffy Duck in Hollywood</v>
      </c>
      <c r="D134" s="32"/>
      <c r="E134" s="28" t="str">
        <f t="shared" si="1"/>
        <v>Não possuo</v>
      </c>
      <c r="F134" s="40" t="s">
        <v>100</v>
      </c>
      <c r="G134" s="41">
        <v>3.0</v>
      </c>
      <c r="H134" s="41">
        <v>3.0</v>
      </c>
      <c r="I134" s="42">
        <v>1994.0</v>
      </c>
      <c r="J134" s="41" t="s">
        <v>75</v>
      </c>
      <c r="K134" s="41" t="s">
        <v>76</v>
      </c>
      <c r="L134" s="41" t="s">
        <v>253</v>
      </c>
      <c r="M134" s="28" t="b">
        <v>0</v>
      </c>
      <c r="N134" s="28" t="b">
        <v>0</v>
      </c>
      <c r="O134" s="28" t="b">
        <v>0</v>
      </c>
      <c r="P134" s="42" t="b">
        <v>0</v>
      </c>
      <c r="Q134" s="43" t="s">
        <v>47</v>
      </c>
      <c r="R134" s="21"/>
      <c r="S134" s="21"/>
      <c r="T134" s="21"/>
      <c r="U134" s="38"/>
      <c r="AA134" s="20"/>
    </row>
    <row r="135" ht="22.5" customHeight="1">
      <c r="A135" s="38" t="s">
        <v>190</v>
      </c>
      <c r="B135" s="32"/>
      <c r="C135" s="32" t="str">
        <f t="array" ref="C135">IF(A135="","",_xlfn.XLOOKUP(A135,Catalogo_BR!$A$2:$A$277,Catalogo_BR!$B$2:$B$277,"",0))</f>
        <v>Deep Duck Trouble estrelando Pato Donald</v>
      </c>
      <c r="D135" s="32"/>
      <c r="E135" s="28" t="str">
        <f t="shared" si="1"/>
        <v>Não possuo</v>
      </c>
      <c r="F135" s="40" t="s">
        <v>100</v>
      </c>
      <c r="G135" s="41">
        <v>3.0</v>
      </c>
      <c r="H135" s="41">
        <v>3.0</v>
      </c>
      <c r="I135" s="42">
        <v>1994.0</v>
      </c>
      <c r="J135" s="41" t="s">
        <v>75</v>
      </c>
      <c r="K135" s="41" t="s">
        <v>76</v>
      </c>
      <c r="L135" s="41" t="s">
        <v>253</v>
      </c>
      <c r="M135" s="28" t="b">
        <v>0</v>
      </c>
      <c r="N135" s="28" t="b">
        <v>0</v>
      </c>
      <c r="O135" s="28" t="b">
        <v>0</v>
      </c>
      <c r="P135" s="42" t="b">
        <v>0</v>
      </c>
      <c r="Q135" s="43" t="s">
        <v>47</v>
      </c>
      <c r="R135" s="21"/>
      <c r="S135" s="21"/>
      <c r="T135" s="21"/>
      <c r="U135" s="38"/>
      <c r="AA135" s="20"/>
    </row>
    <row r="136" ht="22.5" customHeight="1">
      <c r="A136" s="38" t="s">
        <v>202</v>
      </c>
      <c r="B136" s="32"/>
      <c r="C136" s="32" t="str">
        <f t="array" ref="C136">IF(A136="","",_xlfn.XLOOKUP(A136,Catalogo_BR!$A$2:$A$277,Catalogo_BR!$B$2:$B$277,"",0))</f>
        <v>Dr. Robotnik's Mean Bean Machine</v>
      </c>
      <c r="D136" s="32"/>
      <c r="E136" s="28" t="str">
        <f t="shared" si="1"/>
        <v>Não possuo</v>
      </c>
      <c r="F136" s="40" t="s">
        <v>100</v>
      </c>
      <c r="G136" s="41">
        <v>3.0</v>
      </c>
      <c r="H136" s="41">
        <v>3.0</v>
      </c>
      <c r="I136" s="42">
        <v>1993.0</v>
      </c>
      <c r="J136" s="41" t="s">
        <v>75</v>
      </c>
      <c r="K136" s="41" t="s">
        <v>76</v>
      </c>
      <c r="L136" s="41" t="s">
        <v>253</v>
      </c>
      <c r="M136" s="28" t="b">
        <v>0</v>
      </c>
      <c r="N136" s="28" t="b">
        <v>0</v>
      </c>
      <c r="O136" s="28" t="b">
        <v>0</v>
      </c>
      <c r="P136" s="42" t="b">
        <v>0</v>
      </c>
      <c r="Q136" s="43" t="s">
        <v>47</v>
      </c>
      <c r="R136" s="21"/>
      <c r="S136" s="21"/>
      <c r="T136" s="21"/>
      <c r="U136" s="38"/>
      <c r="AA136" s="20"/>
    </row>
    <row r="137" ht="22.5" customHeight="1">
      <c r="A137" s="38" t="s">
        <v>214</v>
      </c>
      <c r="B137" s="32"/>
      <c r="C137" s="32" t="str">
        <f t="array" ref="C137">IF(A137="","",_xlfn.XLOOKUP(A137,Catalogo_BR!$A$2:$A$277,Catalogo_BR!$B$2:$B$277,"",0))</f>
        <v>Dynamite Headdy</v>
      </c>
      <c r="D137" s="32"/>
      <c r="E137" s="28" t="str">
        <f t="shared" si="1"/>
        <v>Não possuo</v>
      </c>
      <c r="F137" s="40" t="s">
        <v>89</v>
      </c>
      <c r="G137" s="41">
        <v>3.0</v>
      </c>
      <c r="H137" s="41">
        <v>3.0</v>
      </c>
      <c r="I137" s="42">
        <v>1995.0</v>
      </c>
      <c r="J137" s="41" t="s">
        <v>75</v>
      </c>
      <c r="K137" s="41" t="s">
        <v>76</v>
      </c>
      <c r="L137" s="41" t="s">
        <v>253</v>
      </c>
      <c r="M137" s="28" t="b">
        <v>0</v>
      </c>
      <c r="N137" s="28" t="b">
        <v>0</v>
      </c>
      <c r="O137" s="28" t="b">
        <v>0</v>
      </c>
      <c r="P137" s="42" t="b">
        <v>0</v>
      </c>
      <c r="Q137" s="43" t="s">
        <v>47</v>
      </c>
      <c r="R137" s="21"/>
      <c r="S137" s="21"/>
      <c r="T137" s="21"/>
      <c r="U137" s="38"/>
      <c r="AA137" s="20" t="str">
        <f>IFERROR(__xludf.DUMMYFUNCTION("COUNTUNIQUE(ARRAYFORMULA(IF((K3:K296=""TecToy"")*(E3:E296&lt;&gt;""Não possuo"")*(A3:A296&lt;&gt;""""), REGEXEXTRACT(A3:A296, ""-(\d+)-""), """"))) &amp; ""/"" &amp; COUNTUNIQUE(ARRAYFORMULA(IF(Catalogo_BR!A2:A296&lt;&gt;"""", REGEXEXTRACT(Catalogo_BR!A2:A296, ""-(\d+)-""), """"))"&amp;")"),"132/245")</f>
        <v>132/245</v>
      </c>
    </row>
    <row r="138" ht="22.5" customHeight="1">
      <c r="A138" s="38" t="s">
        <v>217</v>
      </c>
      <c r="B138" s="32"/>
      <c r="C138" s="32" t="str">
        <f t="array" ref="C138">IF(A138="","",_xlfn.XLOOKUP(A138,Catalogo_BR!$A$2:$A$277,Catalogo_BR!$B$2:$B$277,"",0))</f>
        <v>E-SWAT</v>
      </c>
      <c r="D138" s="32"/>
      <c r="E138" s="28" t="str">
        <f t="shared" si="1"/>
        <v>Não possuo</v>
      </c>
      <c r="F138" s="40" t="s">
        <v>53</v>
      </c>
      <c r="G138" s="41">
        <v>3.0</v>
      </c>
      <c r="H138" s="41">
        <v>3.0</v>
      </c>
      <c r="I138" s="42">
        <v>1990.0</v>
      </c>
      <c r="J138" s="41" t="s">
        <v>75</v>
      </c>
      <c r="K138" s="41" t="s">
        <v>76</v>
      </c>
      <c r="L138" s="41" t="s">
        <v>253</v>
      </c>
      <c r="M138" s="28" t="b">
        <v>0</v>
      </c>
      <c r="N138" s="28" t="b">
        <v>0</v>
      </c>
      <c r="O138" s="28" t="b">
        <v>0</v>
      </c>
      <c r="P138" s="42" t="b">
        <v>0</v>
      </c>
      <c r="Q138" s="43" t="s">
        <v>47</v>
      </c>
      <c r="R138" s="21"/>
      <c r="S138" s="21"/>
      <c r="T138" s="21"/>
      <c r="U138" s="38"/>
      <c r="AA138" s="20"/>
    </row>
    <row r="139" ht="22.5" customHeight="1">
      <c r="A139" s="38" t="s">
        <v>224</v>
      </c>
      <c r="B139" s="32"/>
      <c r="C139" s="32" t="str">
        <f t="array" ref="C139">IF(A139="","",_xlfn.XLOOKUP(A139,Catalogo_BR!$A$2:$A$277,Catalogo_BR!$B$2:$B$277,"",0))</f>
        <v>Ecco: The Tides of Time</v>
      </c>
      <c r="D139" s="32"/>
      <c r="E139" s="28" t="str">
        <f t="shared" si="1"/>
        <v>Não possuo</v>
      </c>
      <c r="F139" s="40" t="s">
        <v>89</v>
      </c>
      <c r="G139" s="41">
        <v>3.0</v>
      </c>
      <c r="H139" s="41">
        <v>3.0</v>
      </c>
      <c r="I139" s="42">
        <v>1996.0</v>
      </c>
      <c r="J139" s="41" t="s">
        <v>75</v>
      </c>
      <c r="K139" s="41" t="s">
        <v>76</v>
      </c>
      <c r="L139" s="41" t="s">
        <v>253</v>
      </c>
      <c r="M139" s="28" t="b">
        <v>0</v>
      </c>
      <c r="N139" s="28" t="b">
        <v>0</v>
      </c>
      <c r="O139" s="28" t="b">
        <v>0</v>
      </c>
      <c r="P139" s="42" t="b">
        <v>0</v>
      </c>
      <c r="Q139" s="43" t="s">
        <v>47</v>
      </c>
      <c r="R139" s="21"/>
      <c r="S139" s="21"/>
      <c r="T139" s="21"/>
      <c r="U139" s="38"/>
      <c r="AA139" s="20"/>
    </row>
    <row r="140" ht="22.5" customHeight="1">
      <c r="A140" s="38" t="s">
        <v>229</v>
      </c>
      <c r="B140" s="32"/>
      <c r="C140" s="32" t="str">
        <f t="array" ref="C140">IF(A140="","",_xlfn.XLOOKUP(A140,Catalogo_BR!$A$2:$A$277,Catalogo_BR!$B$2:$B$277,"",0))</f>
        <v>F1</v>
      </c>
      <c r="D140" s="32"/>
      <c r="E140" s="28" t="str">
        <f t="shared" si="1"/>
        <v>Não possuo</v>
      </c>
      <c r="F140" s="40" t="s">
        <v>100</v>
      </c>
      <c r="G140" s="41">
        <v>3.0</v>
      </c>
      <c r="H140" s="41">
        <v>3.0</v>
      </c>
      <c r="I140" s="42">
        <v>1993.0</v>
      </c>
      <c r="J140" s="41" t="s">
        <v>75</v>
      </c>
      <c r="K140" s="41" t="s">
        <v>76</v>
      </c>
      <c r="L140" s="41" t="s">
        <v>253</v>
      </c>
      <c r="M140" s="28" t="b">
        <v>0</v>
      </c>
      <c r="N140" s="28" t="b">
        <v>0</v>
      </c>
      <c r="O140" s="28" t="b">
        <v>0</v>
      </c>
      <c r="P140" s="42" t="b">
        <v>0</v>
      </c>
      <c r="Q140" s="43" t="s">
        <v>47</v>
      </c>
      <c r="R140" s="21"/>
      <c r="S140" s="21"/>
      <c r="T140" s="21"/>
      <c r="U140" s="38"/>
      <c r="AA140" s="20"/>
    </row>
    <row r="141" ht="22.5" customHeight="1">
      <c r="A141" s="38" t="s">
        <v>231</v>
      </c>
      <c r="B141" s="32"/>
      <c r="C141" s="32" t="str">
        <f t="array" ref="C141">IF(A141="","",_xlfn.XLOOKUP(A141,Catalogo_BR!$A$2:$A$277,Catalogo_BR!$B$2:$B$277,"",0))</f>
        <v>Fantasy Zone II</v>
      </c>
      <c r="D141" s="32"/>
      <c r="E141" s="28" t="str">
        <f t="shared" si="1"/>
        <v>Não possuo</v>
      </c>
      <c r="F141" s="40" t="s">
        <v>53</v>
      </c>
      <c r="G141" s="41">
        <v>3.0</v>
      </c>
      <c r="H141" s="41">
        <v>4.0</v>
      </c>
      <c r="I141" s="42">
        <v>1987.0</v>
      </c>
      <c r="J141" s="41" t="s">
        <v>75</v>
      </c>
      <c r="K141" s="41" t="s">
        <v>76</v>
      </c>
      <c r="L141" s="41" t="s">
        <v>253</v>
      </c>
      <c r="M141" s="28" t="b">
        <v>0</v>
      </c>
      <c r="N141" s="28" t="b">
        <v>0</v>
      </c>
      <c r="O141" s="28" t="b">
        <v>0</v>
      </c>
      <c r="P141" s="42" t="b">
        <v>0</v>
      </c>
      <c r="Q141" s="43" t="s">
        <v>47</v>
      </c>
      <c r="R141" s="21"/>
      <c r="S141" s="21"/>
      <c r="T141" s="21"/>
      <c r="U141" s="38"/>
      <c r="AA141" s="20"/>
    </row>
    <row r="142" ht="22.5" customHeight="1">
      <c r="A142" s="38" t="s">
        <v>236</v>
      </c>
      <c r="B142" s="32"/>
      <c r="C142" s="32" t="str">
        <f t="array" ref="C142">IF(A142="","",_xlfn.XLOOKUP(A142,Catalogo_BR!$A$2:$A$277,Catalogo_BR!$B$2:$B$277,"",0))</f>
        <v>Férias Frustradas do Pica-Pau</v>
      </c>
      <c r="D142" s="32"/>
      <c r="E142" s="28" t="str">
        <f t="shared" si="1"/>
        <v>Não possuo</v>
      </c>
      <c r="F142" s="40" t="s">
        <v>89</v>
      </c>
      <c r="G142" s="41">
        <v>3.0</v>
      </c>
      <c r="H142" s="41">
        <v>1.0</v>
      </c>
      <c r="I142" s="42">
        <v>1996.0</v>
      </c>
      <c r="J142" s="41" t="s">
        <v>75</v>
      </c>
      <c r="K142" s="41" t="s">
        <v>76</v>
      </c>
      <c r="L142" s="41" t="s">
        <v>253</v>
      </c>
      <c r="M142" s="28" t="b">
        <v>0</v>
      </c>
      <c r="N142" s="28" t="b">
        <v>0</v>
      </c>
      <c r="O142" s="28" t="b">
        <v>0</v>
      </c>
      <c r="P142" s="42" t="b">
        <v>0</v>
      </c>
      <c r="Q142" s="43" t="s">
        <v>47</v>
      </c>
      <c r="R142" s="21"/>
      <c r="S142" s="21"/>
      <c r="T142" s="21"/>
      <c r="U142" s="38"/>
      <c r="AA142" s="20"/>
    </row>
    <row r="143" ht="22.5" customHeight="1">
      <c r="A143" s="38" t="s">
        <v>238</v>
      </c>
      <c r="B143" s="32"/>
      <c r="C143" s="32" t="str">
        <f t="array" ref="C143">IF(A143="","",_xlfn.XLOOKUP(A143,Catalogo_BR!$A$2:$A$277,Catalogo_BR!$B$2:$B$277,"",0))</f>
        <v>FIFA International Soccer</v>
      </c>
      <c r="D143" s="32"/>
      <c r="E143" s="28" t="str">
        <f t="shared" si="1"/>
        <v>Não possuo</v>
      </c>
      <c r="F143" s="40" t="s">
        <v>89</v>
      </c>
      <c r="G143" s="41">
        <v>3.0</v>
      </c>
      <c r="H143" s="41">
        <v>2.0</v>
      </c>
      <c r="I143" s="42">
        <v>1996.0</v>
      </c>
      <c r="J143" s="41" t="s">
        <v>75</v>
      </c>
      <c r="K143" s="41" t="s">
        <v>76</v>
      </c>
      <c r="L143" s="41" t="s">
        <v>253</v>
      </c>
      <c r="M143" s="28" t="b">
        <v>0</v>
      </c>
      <c r="N143" s="28" t="b">
        <v>0</v>
      </c>
      <c r="O143" s="28" t="b">
        <v>0</v>
      </c>
      <c r="P143" s="42" t="b">
        <v>0</v>
      </c>
      <c r="Q143" s="43" t="s">
        <v>47</v>
      </c>
      <c r="R143" s="21"/>
      <c r="S143" s="21"/>
      <c r="T143" s="21"/>
      <c r="U143" s="38"/>
      <c r="AA143" s="20"/>
    </row>
    <row r="144" ht="22.5" customHeight="1">
      <c r="A144" s="38" t="s">
        <v>34</v>
      </c>
      <c r="B144" s="32"/>
      <c r="C144" s="32" t="str">
        <f t="array" ref="C144">IF(A144="","",_xlfn.XLOOKUP(A144,Catalogo_BR!$A$2:$A$277,Catalogo_BR!$B$2:$B$277,"",0))</f>
        <v>Ace of Aces</v>
      </c>
      <c r="D144" s="32"/>
      <c r="E144" s="28" t="str">
        <f t="shared" si="1"/>
        <v>Não possuo</v>
      </c>
      <c r="F144" s="40" t="s">
        <v>39</v>
      </c>
      <c r="G144" s="41">
        <v>1.0</v>
      </c>
      <c r="H144" s="41">
        <v>3.0</v>
      </c>
      <c r="I144" s="42">
        <v>1991.0</v>
      </c>
      <c r="J144" s="41" t="s">
        <v>75</v>
      </c>
      <c r="K144" s="41" t="s">
        <v>76</v>
      </c>
      <c r="L144" s="41" t="s">
        <v>77</v>
      </c>
      <c r="M144" s="28" t="b">
        <v>0</v>
      </c>
      <c r="N144" s="28" t="b">
        <v>0</v>
      </c>
      <c r="O144" s="28" t="b">
        <v>0</v>
      </c>
      <c r="P144" s="42" t="b">
        <v>0</v>
      </c>
      <c r="Q144" s="43" t="s">
        <v>47</v>
      </c>
      <c r="R144" s="21"/>
      <c r="S144" s="21"/>
      <c r="T144" s="21"/>
      <c r="U144" s="38"/>
      <c r="AA144" s="20"/>
    </row>
    <row r="145" ht="22.5" customHeight="1">
      <c r="A145" s="38" t="s">
        <v>240</v>
      </c>
      <c r="B145" s="32"/>
      <c r="C145" s="32" t="str">
        <f t="array" ref="C145">IF(A145="","",_xlfn.XLOOKUP(A145,Catalogo_BR!$A$2:$A$277,Catalogo_BR!$B$2:$B$277,"",0))</f>
        <v>Fire &amp; Ice</v>
      </c>
      <c r="D145" s="32"/>
      <c r="E145" s="28" t="str">
        <f t="shared" si="1"/>
        <v>Não possuo</v>
      </c>
      <c r="F145" s="40" t="s">
        <v>89</v>
      </c>
      <c r="G145" s="41">
        <v>3.0</v>
      </c>
      <c r="H145" s="41">
        <v>3.0</v>
      </c>
      <c r="I145" s="42">
        <v>1995.0</v>
      </c>
      <c r="J145" s="41" t="s">
        <v>75</v>
      </c>
      <c r="K145" s="41" t="s">
        <v>76</v>
      </c>
      <c r="L145" s="41" t="s">
        <v>253</v>
      </c>
      <c r="M145" s="28" t="b">
        <v>0</v>
      </c>
      <c r="N145" s="28" t="b">
        <v>0</v>
      </c>
      <c r="O145" s="28" t="b">
        <v>0</v>
      </c>
      <c r="P145" s="42" t="b">
        <v>0</v>
      </c>
      <c r="Q145" s="43" t="s">
        <v>47</v>
      </c>
      <c r="R145" s="21"/>
      <c r="S145" s="21"/>
      <c r="T145" s="21"/>
      <c r="U145" s="38"/>
      <c r="AA145" s="20"/>
    </row>
    <row r="146" ht="22.5" customHeight="1">
      <c r="A146" s="38" t="s">
        <v>242</v>
      </c>
      <c r="B146" s="32"/>
      <c r="C146" s="32" t="str">
        <f t="array" ref="C146">IF(A146="","",_xlfn.XLOOKUP(A146,Catalogo_BR!$A$2:$A$277,Catalogo_BR!$B$2:$B$277,"",0))</f>
        <v>Forgotten Worlds</v>
      </c>
      <c r="D146" s="32"/>
      <c r="E146" s="28" t="str">
        <f t="shared" si="1"/>
        <v>Não possuo</v>
      </c>
      <c r="F146" s="40" t="s">
        <v>39</v>
      </c>
      <c r="G146" s="41">
        <v>3.0</v>
      </c>
      <c r="H146" s="41">
        <v>3.0</v>
      </c>
      <c r="I146" s="42">
        <v>1991.0</v>
      </c>
      <c r="J146" s="41" t="s">
        <v>75</v>
      </c>
      <c r="K146" s="41" t="s">
        <v>76</v>
      </c>
      <c r="L146" s="41" t="s">
        <v>253</v>
      </c>
      <c r="M146" s="28" t="b">
        <v>0</v>
      </c>
      <c r="N146" s="28" t="b">
        <v>0</v>
      </c>
      <c r="O146" s="28" t="b">
        <v>0</v>
      </c>
      <c r="P146" s="42" t="b">
        <v>0</v>
      </c>
      <c r="Q146" s="43" t="s">
        <v>47</v>
      </c>
      <c r="R146" s="21"/>
      <c r="S146" s="21"/>
      <c r="T146" s="21"/>
      <c r="U146" s="38"/>
      <c r="AA146" s="20"/>
    </row>
    <row r="147" ht="22.5" customHeight="1">
      <c r="A147" s="38" t="s">
        <v>250</v>
      </c>
      <c r="B147" s="32"/>
      <c r="C147" s="32" t="str">
        <f t="array" ref="C147">IF(A147="","",_xlfn.XLOOKUP(A147,Catalogo_BR!$A$2:$A$277,Catalogo_BR!$B$2:$B$277,"",0))</f>
        <v>Galaxy Force</v>
      </c>
      <c r="D147" s="32"/>
      <c r="E147" s="28" t="str">
        <f t="shared" si="1"/>
        <v>Não possuo</v>
      </c>
      <c r="F147" s="40" t="s">
        <v>39</v>
      </c>
      <c r="G147" s="41">
        <v>3.0</v>
      </c>
      <c r="H147" s="41">
        <v>3.0</v>
      </c>
      <c r="I147" s="42">
        <v>1989.0</v>
      </c>
      <c r="J147" s="41" t="s">
        <v>75</v>
      </c>
      <c r="K147" s="41" t="s">
        <v>76</v>
      </c>
      <c r="L147" s="41" t="s">
        <v>253</v>
      </c>
      <c r="M147" s="28" t="b">
        <v>0</v>
      </c>
      <c r="N147" s="28" t="b">
        <v>0</v>
      </c>
      <c r="O147" s="28" t="b">
        <v>0</v>
      </c>
      <c r="P147" s="42" t="b">
        <v>0</v>
      </c>
      <c r="Q147" s="43" t="s">
        <v>47</v>
      </c>
      <c r="R147" s="21"/>
      <c r="S147" s="21"/>
      <c r="T147" s="21"/>
      <c r="U147" s="38"/>
      <c r="AA147" s="20"/>
    </row>
    <row r="148" ht="22.5" customHeight="1">
      <c r="A148" s="38" t="s">
        <v>269</v>
      </c>
      <c r="B148" s="32"/>
      <c r="C148" s="32" t="str">
        <f t="array" ref="C148">IF(A148="","",_xlfn.XLOOKUP(A148,Catalogo_BR!$A$2:$A$277,Catalogo_BR!$B$2:$B$277,"",0))</f>
        <v>George Foreman's KO Boxing</v>
      </c>
      <c r="D148" s="32"/>
      <c r="E148" s="28" t="str">
        <f t="shared" si="1"/>
        <v>Não possuo</v>
      </c>
      <c r="F148" s="40" t="s">
        <v>100</v>
      </c>
      <c r="G148" s="41">
        <v>3.0</v>
      </c>
      <c r="H148" s="41">
        <v>2.0</v>
      </c>
      <c r="I148" s="42">
        <v>1992.0</v>
      </c>
      <c r="J148" s="41" t="s">
        <v>75</v>
      </c>
      <c r="K148" s="41" t="s">
        <v>76</v>
      </c>
      <c r="L148" s="41" t="s">
        <v>253</v>
      </c>
      <c r="M148" s="28" t="b">
        <v>0</v>
      </c>
      <c r="N148" s="28" t="b">
        <v>0</v>
      </c>
      <c r="O148" s="28" t="b">
        <v>0</v>
      </c>
      <c r="P148" s="42" t="b">
        <v>0</v>
      </c>
      <c r="Q148" s="43" t="s">
        <v>47</v>
      </c>
      <c r="R148" s="21"/>
      <c r="S148" s="21"/>
      <c r="T148" s="21"/>
      <c r="U148" s="38"/>
      <c r="AA148" s="20"/>
    </row>
    <row r="149" ht="22.5" customHeight="1">
      <c r="A149" s="38" t="s">
        <v>271</v>
      </c>
      <c r="B149" s="32"/>
      <c r="C149" s="32" t="str">
        <f t="array" ref="C149">IF(A149="","",_xlfn.XLOOKUP(A149,Catalogo_BR!$A$2:$A$277,Catalogo_BR!$B$2:$B$277,"",0))</f>
        <v>Geraldinho</v>
      </c>
      <c r="D149" s="32"/>
      <c r="E149" s="28" t="str">
        <f t="shared" si="1"/>
        <v>Não possuo</v>
      </c>
      <c r="F149" s="40" t="s">
        <v>100</v>
      </c>
      <c r="G149" s="41">
        <v>3.0</v>
      </c>
      <c r="H149" s="41">
        <v>2.0</v>
      </c>
      <c r="I149" s="42">
        <v>1995.0</v>
      </c>
      <c r="J149" s="41" t="s">
        <v>75</v>
      </c>
      <c r="K149" s="41" t="s">
        <v>76</v>
      </c>
      <c r="L149" s="41" t="s">
        <v>253</v>
      </c>
      <c r="M149" s="28" t="b">
        <v>0</v>
      </c>
      <c r="N149" s="28" t="b">
        <v>0</v>
      </c>
      <c r="O149" s="28" t="b">
        <v>0</v>
      </c>
      <c r="P149" s="42" t="b">
        <v>0</v>
      </c>
      <c r="Q149" s="43" t="s">
        <v>47</v>
      </c>
      <c r="R149" s="21"/>
      <c r="S149" s="21"/>
      <c r="T149" s="21"/>
      <c r="U149" s="38"/>
      <c r="AA149" s="20"/>
    </row>
    <row r="150" ht="22.5" customHeight="1">
      <c r="A150" s="38" t="s">
        <v>466</v>
      </c>
      <c r="B150" s="32"/>
      <c r="C150" s="32" t="str">
        <f t="array" ref="C150">IF(A150="","",_xlfn.XLOOKUP(A150,Catalogo_BR!$A$2:$A$277,Catalogo_BR!$B$2:$B$277,"",0))</f>
        <v>Shapes and Columns</v>
      </c>
      <c r="D150" s="32"/>
      <c r="E150" s="28" t="str">
        <f t="shared" si="1"/>
        <v>Não possuo</v>
      </c>
      <c r="F150" s="40" t="s">
        <v>39</v>
      </c>
      <c r="G150" s="41">
        <v>3.0</v>
      </c>
      <c r="H150" s="41">
        <v>3.0</v>
      </c>
      <c r="I150" s="42">
        <v>1990.0</v>
      </c>
      <c r="J150" s="41" t="s">
        <v>75</v>
      </c>
      <c r="K150" s="41" t="s">
        <v>76</v>
      </c>
      <c r="L150" s="41" t="s">
        <v>253</v>
      </c>
      <c r="M150" s="28" t="b">
        <v>0</v>
      </c>
      <c r="N150" s="28" t="b">
        <v>0</v>
      </c>
      <c r="O150" s="28" t="b">
        <v>0</v>
      </c>
      <c r="P150" s="42" t="b">
        <v>0</v>
      </c>
      <c r="Q150" s="43" t="s">
        <v>47</v>
      </c>
      <c r="R150" s="21"/>
      <c r="S150" s="21"/>
      <c r="T150" s="21"/>
      <c r="U150" s="38"/>
      <c r="AA150" s="20"/>
    </row>
    <row r="151" ht="22.5" customHeight="1">
      <c r="A151" s="50" t="s">
        <v>277</v>
      </c>
      <c r="B151" s="51"/>
      <c r="C151" s="52" t="str">
        <f t="array" ref="C151">IF(A151="","",_xlfn.XLOOKUP(A151,Catalogo_BR!$A$2:$A$277,Catalogo_BR!$B$2:$B$277,"",0))</f>
        <v>Ghouls 'n Ghosts</v>
      </c>
      <c r="D151" s="52"/>
      <c r="E151" s="53" t="str">
        <f t="shared" si="1"/>
        <v>Não possuo</v>
      </c>
      <c r="F151" s="54" t="s">
        <v>89</v>
      </c>
      <c r="G151" s="55">
        <v>3.0</v>
      </c>
      <c r="H151" s="55">
        <v>4.0</v>
      </c>
      <c r="I151" s="56">
        <v>1991.0</v>
      </c>
      <c r="J151" s="55" t="s">
        <v>75</v>
      </c>
      <c r="K151" s="55" t="s">
        <v>76</v>
      </c>
      <c r="L151" s="55" t="s">
        <v>253</v>
      </c>
      <c r="M151" s="57" t="b">
        <v>0</v>
      </c>
      <c r="N151" s="57" t="b">
        <v>0</v>
      </c>
      <c r="O151" s="57" t="b">
        <v>0</v>
      </c>
      <c r="P151" s="56" t="b">
        <v>0</v>
      </c>
      <c r="Q151" s="58" t="s">
        <v>47</v>
      </c>
      <c r="R151" s="59"/>
      <c r="S151" s="59"/>
      <c r="T151" s="59"/>
      <c r="U151" s="50" t="s">
        <v>290</v>
      </c>
      <c r="V151" s="60"/>
      <c r="W151" s="60"/>
      <c r="X151" s="60"/>
      <c r="Y151" s="60"/>
      <c r="Z151" s="60"/>
      <c r="AA151" s="60"/>
    </row>
    <row r="152" ht="22.5" customHeight="1">
      <c r="A152" s="38" t="s">
        <v>279</v>
      </c>
      <c r="B152" s="32"/>
      <c r="C152" s="32" t="str">
        <f t="array" ref="C152">IF(A152="","",_xlfn.XLOOKUP(A152,Catalogo_BR!$A$2:$A$277,Catalogo_BR!$B$2:$B$277,"",0))</f>
        <v>Ghouls 'n Ghosts</v>
      </c>
      <c r="D152" s="32"/>
      <c r="E152" s="28" t="str">
        <f t="shared" si="1"/>
        <v>Não possuo</v>
      </c>
      <c r="F152" s="40" t="s">
        <v>53</v>
      </c>
      <c r="G152" s="41">
        <v>3.0</v>
      </c>
      <c r="H152" s="41">
        <v>4.0</v>
      </c>
      <c r="I152" s="42">
        <v>1991.0</v>
      </c>
      <c r="J152" s="41" t="s">
        <v>75</v>
      </c>
      <c r="K152" s="41" t="s">
        <v>76</v>
      </c>
      <c r="L152" s="41" t="s">
        <v>253</v>
      </c>
      <c r="M152" s="28" t="b">
        <v>0</v>
      </c>
      <c r="N152" s="28" t="b">
        <v>0</v>
      </c>
      <c r="O152" s="28" t="b">
        <v>0</v>
      </c>
      <c r="P152" s="42" t="b">
        <v>0</v>
      </c>
      <c r="Q152" s="43" t="s">
        <v>47</v>
      </c>
      <c r="R152" s="21"/>
      <c r="S152" s="21"/>
      <c r="T152" s="21"/>
      <c r="U152" s="38"/>
      <c r="AA152" s="20"/>
    </row>
    <row r="153" ht="22.5" customHeight="1">
      <c r="A153" s="38" t="s">
        <v>472</v>
      </c>
      <c r="B153" s="32"/>
      <c r="C153" s="32" t="str">
        <f t="array" ref="C153">IF(A153="","",_xlfn.XLOOKUP(A153,Catalogo_BR!$A$2:$A$277,Catalogo_BR!$B$2:$B$277,"",0))</f>
        <v>Shooting G</v>
      </c>
      <c r="D153" s="32"/>
      <c r="E153" s="28" t="str">
        <f t="shared" si="1"/>
        <v>Não possuo</v>
      </c>
      <c r="F153" s="40" t="s">
        <v>39</v>
      </c>
      <c r="G153" s="41">
        <v>3.0</v>
      </c>
      <c r="H153" s="41">
        <v>3.0</v>
      </c>
      <c r="I153" s="42">
        <v>1987.0</v>
      </c>
      <c r="J153" s="41" t="s">
        <v>75</v>
      </c>
      <c r="K153" s="41" t="s">
        <v>76</v>
      </c>
      <c r="L153" s="41" t="s">
        <v>253</v>
      </c>
      <c r="M153" s="28" t="b">
        <v>0</v>
      </c>
      <c r="N153" s="28" t="b">
        <v>0</v>
      </c>
      <c r="O153" s="28" t="b">
        <v>0</v>
      </c>
      <c r="P153" s="42" t="b">
        <v>0</v>
      </c>
      <c r="Q153" s="43" t="s">
        <v>47</v>
      </c>
      <c r="R153" s="21"/>
      <c r="S153" s="21"/>
      <c r="T153" s="21"/>
      <c r="U153" s="38"/>
      <c r="AA153" s="20"/>
    </row>
    <row r="154" ht="22.5" customHeight="1">
      <c r="A154" s="38" t="s">
        <v>589</v>
      </c>
      <c r="B154" s="32"/>
      <c r="C154" s="32" t="str">
        <f t="array" ref="C154">IF(A154="","",_xlfn.XLOOKUP(A154,Catalogo_BR!$A$2:$A$277,Catalogo_BR!$B$2:$B$277,"",0))</f>
        <v>World Grand Prix</v>
      </c>
      <c r="D154" s="32"/>
      <c r="E154" s="28" t="str">
        <f t="shared" si="1"/>
        <v>Não possuo</v>
      </c>
      <c r="F154" s="40" t="s">
        <v>39</v>
      </c>
      <c r="G154" s="41">
        <v>3.0</v>
      </c>
      <c r="H154" s="41">
        <v>3.0</v>
      </c>
      <c r="I154" s="42">
        <v>1986.0</v>
      </c>
      <c r="J154" s="41" t="s">
        <v>75</v>
      </c>
      <c r="K154" s="41" t="s">
        <v>76</v>
      </c>
      <c r="L154" s="41" t="s">
        <v>253</v>
      </c>
      <c r="M154" s="28" t="b">
        <v>0</v>
      </c>
      <c r="N154" s="28" t="b">
        <v>0</v>
      </c>
      <c r="O154" s="28" t="b">
        <v>0</v>
      </c>
      <c r="P154" s="42" t="b">
        <v>0</v>
      </c>
      <c r="Q154" s="43" t="s">
        <v>47</v>
      </c>
      <c r="R154" s="21"/>
      <c r="S154" s="21"/>
      <c r="T154" s="21"/>
      <c r="U154" s="38"/>
      <c r="AA154" s="20"/>
    </row>
    <row r="155" ht="22.5" customHeight="1">
      <c r="A155" s="38" t="s">
        <v>306</v>
      </c>
      <c r="B155" s="32"/>
      <c r="C155" s="32" t="str">
        <f t="array" ref="C155">IF(A155="","",_xlfn.XLOOKUP(A155,Catalogo_BR!$A$2:$A$277,Catalogo_BR!$B$2:$B$277,"",0))</f>
        <v>Hang On &amp; Safari Hunt</v>
      </c>
      <c r="D155" s="32"/>
      <c r="E155" s="28" t="str">
        <f t="shared" si="1"/>
        <v>Não possuo</v>
      </c>
      <c r="F155" s="40" t="s">
        <v>23</v>
      </c>
      <c r="G155" s="41">
        <v>3.0</v>
      </c>
      <c r="H155" s="41">
        <v>2.0</v>
      </c>
      <c r="I155" s="42">
        <v>1986.0</v>
      </c>
      <c r="J155" s="41" t="s">
        <v>75</v>
      </c>
      <c r="K155" s="41" t="s">
        <v>76</v>
      </c>
      <c r="L155" s="41" t="s">
        <v>253</v>
      </c>
      <c r="M155" s="28" t="b">
        <v>0</v>
      </c>
      <c r="N155" s="28" t="b">
        <v>0</v>
      </c>
      <c r="O155" s="28" t="b">
        <v>0</v>
      </c>
      <c r="P155" s="42" t="b">
        <v>0</v>
      </c>
      <c r="Q155" s="43" t="s">
        <v>47</v>
      </c>
      <c r="R155" s="21"/>
      <c r="S155" s="21"/>
      <c r="T155" s="21"/>
      <c r="U155" s="38"/>
      <c r="AA155" s="20"/>
    </row>
    <row r="156" ht="22.5" customHeight="1">
      <c r="A156" s="38" t="s">
        <v>294</v>
      </c>
      <c r="B156" s="32"/>
      <c r="C156" s="32" t="str">
        <f t="array" ref="C156">IF(A156="","",_xlfn.XLOOKUP(A156,Catalogo_BR!$A$2:$A$277,Catalogo_BR!$B$2:$B$277,"",0))</f>
        <v>Golfamania</v>
      </c>
      <c r="D156" s="32"/>
      <c r="E156" s="28" t="str">
        <f t="shared" si="1"/>
        <v>Não possuo</v>
      </c>
      <c r="F156" s="40" t="s">
        <v>39</v>
      </c>
      <c r="G156" s="41">
        <v>3.0</v>
      </c>
      <c r="H156" s="41">
        <v>2.0</v>
      </c>
      <c r="I156" s="42">
        <v>1990.0</v>
      </c>
      <c r="J156" s="41" t="s">
        <v>75</v>
      </c>
      <c r="K156" s="41" t="s">
        <v>76</v>
      </c>
      <c r="L156" s="41" t="s">
        <v>253</v>
      </c>
      <c r="M156" s="28" t="b">
        <v>0</v>
      </c>
      <c r="N156" s="28" t="b">
        <v>0</v>
      </c>
      <c r="O156" s="28" t="b">
        <v>0</v>
      </c>
      <c r="P156" s="42" t="b">
        <v>0</v>
      </c>
      <c r="Q156" s="43" t="s">
        <v>47</v>
      </c>
      <c r="R156" s="21"/>
      <c r="S156" s="21"/>
      <c r="T156" s="21"/>
      <c r="U156" s="38"/>
      <c r="AA156" s="20"/>
    </row>
    <row r="157" ht="22.5" customHeight="1">
      <c r="A157" s="38" t="s">
        <v>318</v>
      </c>
      <c r="B157" s="32"/>
      <c r="C157" s="32" t="str">
        <f t="array" ref="C157">IF(A157="","",_xlfn.XLOOKUP(A157,Catalogo_BR!$A$2:$A$277,Catalogo_BR!$B$2:$B$277,"",0))</f>
        <v>James Bond 007 - The Duel</v>
      </c>
      <c r="D157" s="32"/>
      <c r="E157" s="28" t="str">
        <f t="shared" si="1"/>
        <v>Não possuo</v>
      </c>
      <c r="F157" s="40" t="s">
        <v>100</v>
      </c>
      <c r="G157" s="41">
        <v>3.0</v>
      </c>
      <c r="H157" s="41">
        <v>3.0</v>
      </c>
      <c r="I157" s="42">
        <v>1993.0</v>
      </c>
      <c r="J157" s="41" t="s">
        <v>75</v>
      </c>
      <c r="K157" s="41" t="s">
        <v>76</v>
      </c>
      <c r="L157" s="41" t="s">
        <v>253</v>
      </c>
      <c r="M157" s="28" t="b">
        <v>0</v>
      </c>
      <c r="N157" s="28" t="b">
        <v>0</v>
      </c>
      <c r="O157" s="28" t="b">
        <v>0</v>
      </c>
      <c r="P157" s="42" t="b">
        <v>0</v>
      </c>
      <c r="Q157" s="43" t="s">
        <v>47</v>
      </c>
      <c r="R157" s="21"/>
      <c r="S157" s="21"/>
      <c r="T157" s="21"/>
      <c r="U157" s="38"/>
      <c r="AA157" s="20"/>
    </row>
    <row r="158" ht="22.5" customHeight="1">
      <c r="A158" s="38" t="s">
        <v>320</v>
      </c>
      <c r="B158" s="32"/>
      <c r="C158" s="32" t="str">
        <f t="array" ref="C158">IF(A158="","",_xlfn.XLOOKUP(A158,Catalogo_BR!$A$2:$A$277,Catalogo_BR!$B$2:$B$277,"",0))</f>
        <v>James Pond 2 Codename RoboCod</v>
      </c>
      <c r="D158" s="32"/>
      <c r="E158" s="28" t="str">
        <f t="shared" si="1"/>
        <v>Não possuo</v>
      </c>
      <c r="F158" s="40" t="s">
        <v>89</v>
      </c>
      <c r="G158" s="41">
        <v>3.0</v>
      </c>
      <c r="H158" s="41">
        <v>3.0</v>
      </c>
      <c r="I158" s="42">
        <v>1993.0</v>
      </c>
      <c r="J158" s="41" t="s">
        <v>75</v>
      </c>
      <c r="K158" s="41" t="s">
        <v>76</v>
      </c>
      <c r="L158" s="41" t="s">
        <v>253</v>
      </c>
      <c r="M158" s="28" t="b">
        <v>0</v>
      </c>
      <c r="N158" s="28" t="b">
        <v>0</v>
      </c>
      <c r="O158" s="28" t="b">
        <v>0</v>
      </c>
      <c r="P158" s="42" t="b">
        <v>0</v>
      </c>
      <c r="Q158" s="43" t="s">
        <v>47</v>
      </c>
      <c r="R158" s="21"/>
      <c r="S158" s="21"/>
      <c r="T158" s="21"/>
      <c r="U158" s="38"/>
      <c r="AA158" s="20"/>
    </row>
    <row r="159" ht="22.5" customHeight="1">
      <c r="A159" s="38" t="s">
        <v>330</v>
      </c>
      <c r="B159" s="32"/>
      <c r="C159" s="32" t="str">
        <f t="array" ref="C159">IF(A159="","",_xlfn.XLOOKUP(A159,Catalogo_BR!$A$2:$A$277,Catalogo_BR!$B$2:$B$277,"",0))</f>
        <v>Jogos Olímpicos</v>
      </c>
      <c r="D159" s="32"/>
      <c r="E159" s="28" t="str">
        <f t="shared" si="1"/>
        <v>Não possuo</v>
      </c>
      <c r="F159" s="40" t="s">
        <v>39</v>
      </c>
      <c r="G159" s="41">
        <v>3.0</v>
      </c>
      <c r="H159" s="41">
        <v>2.0</v>
      </c>
      <c r="I159" s="42">
        <v>1990.0</v>
      </c>
      <c r="J159" s="41" t="s">
        <v>75</v>
      </c>
      <c r="K159" s="41" t="s">
        <v>76</v>
      </c>
      <c r="L159" s="41" t="s">
        <v>253</v>
      </c>
      <c r="M159" s="28" t="b">
        <v>0</v>
      </c>
      <c r="N159" s="28" t="b">
        <v>0</v>
      </c>
      <c r="O159" s="28" t="b">
        <v>0</v>
      </c>
      <c r="P159" s="42" t="b">
        <v>0</v>
      </c>
      <c r="Q159" s="43" t="s">
        <v>47</v>
      </c>
      <c r="R159" s="21"/>
      <c r="S159" s="21"/>
      <c r="T159" s="21"/>
      <c r="U159" s="38"/>
      <c r="AA159" s="20"/>
    </row>
    <row r="160" ht="22.5" customHeight="1">
      <c r="A160" s="38" t="s">
        <v>334</v>
      </c>
      <c r="B160" s="32"/>
      <c r="C160" s="32" t="str">
        <f t="array" ref="C160">IF(A160="","",_xlfn.XLOOKUP(A160,Catalogo_BR!$A$2:$A$277,Catalogo_BR!$B$2:$B$277,"",0))</f>
        <v>Kenseiden</v>
      </c>
      <c r="D160" s="32"/>
      <c r="E160" s="28" t="str">
        <f t="shared" si="1"/>
        <v>Não possuo</v>
      </c>
      <c r="F160" s="40" t="s">
        <v>53</v>
      </c>
      <c r="G160" s="41">
        <v>3.0</v>
      </c>
      <c r="H160" s="41">
        <v>5.0</v>
      </c>
      <c r="I160" s="42">
        <v>1988.0</v>
      </c>
      <c r="J160" s="41" t="s">
        <v>75</v>
      </c>
      <c r="K160" s="41" t="s">
        <v>76</v>
      </c>
      <c r="L160" s="41" t="s">
        <v>253</v>
      </c>
      <c r="M160" s="28" t="b">
        <v>0</v>
      </c>
      <c r="N160" s="28" t="b">
        <v>0</v>
      </c>
      <c r="O160" s="28" t="b">
        <v>0</v>
      </c>
      <c r="P160" s="42" t="b">
        <v>0</v>
      </c>
      <c r="Q160" s="43" t="s">
        <v>47</v>
      </c>
      <c r="R160" s="21"/>
      <c r="S160" s="21"/>
      <c r="T160" s="21"/>
      <c r="U160" s="38"/>
      <c r="AA160" s="20"/>
    </row>
    <row r="161" ht="22.5" customHeight="1">
      <c r="A161" s="38" t="s">
        <v>337</v>
      </c>
      <c r="B161" s="32"/>
      <c r="C161" s="32" t="str">
        <f t="array" ref="C161">IF(A161="","",_xlfn.XLOOKUP(A161,Catalogo_BR!$A$2:$A$277,Catalogo_BR!$B$2:$B$277,"",0))</f>
        <v>Krusty's Fun House</v>
      </c>
      <c r="D161" s="32"/>
      <c r="E161" s="28" t="str">
        <f t="shared" si="1"/>
        <v>Não possuo</v>
      </c>
      <c r="F161" s="40" t="s">
        <v>100</v>
      </c>
      <c r="G161" s="41">
        <v>3.0</v>
      </c>
      <c r="H161" s="41">
        <v>3.0</v>
      </c>
      <c r="I161" s="42">
        <v>1993.0</v>
      </c>
      <c r="J161" s="41" t="s">
        <v>75</v>
      </c>
      <c r="K161" s="41" t="s">
        <v>76</v>
      </c>
      <c r="L161" s="41" t="s">
        <v>253</v>
      </c>
      <c r="M161" s="28" t="b">
        <v>0</v>
      </c>
      <c r="N161" s="28" t="b">
        <v>0</v>
      </c>
      <c r="O161" s="28" t="b">
        <v>0</v>
      </c>
      <c r="P161" s="42" t="b">
        <v>0</v>
      </c>
      <c r="Q161" s="43" t="s">
        <v>47</v>
      </c>
      <c r="R161" s="21"/>
      <c r="S161" s="21"/>
      <c r="T161" s="21"/>
      <c r="U161" s="38"/>
      <c r="AA161" s="20"/>
    </row>
    <row r="162" ht="22.5" customHeight="1">
      <c r="A162" s="38" t="s">
        <v>371</v>
      </c>
      <c r="B162" s="32"/>
      <c r="C162" s="32" t="str">
        <f t="array" ref="C162">IF(A162="","",_xlfn.XLOOKUP(A162,Catalogo_BR!$A$2:$A$277,Catalogo_BR!$B$2:$B$277,"",0))</f>
        <v>Moonwalker</v>
      </c>
      <c r="D162" s="32"/>
      <c r="E162" s="28" t="str">
        <f t="shared" si="1"/>
        <v>Não possuo</v>
      </c>
      <c r="F162" s="40" t="s">
        <v>53</v>
      </c>
      <c r="G162" s="41">
        <v>3.0</v>
      </c>
      <c r="H162" s="41">
        <v>4.0</v>
      </c>
      <c r="I162" s="42">
        <v>1990.0</v>
      </c>
      <c r="J162" s="41" t="s">
        <v>75</v>
      </c>
      <c r="K162" s="41" t="s">
        <v>76</v>
      </c>
      <c r="L162" s="41" t="s">
        <v>253</v>
      </c>
      <c r="M162" s="28" t="b">
        <v>0</v>
      </c>
      <c r="N162" s="28" t="b">
        <v>0</v>
      </c>
      <c r="O162" s="28" t="b">
        <v>0</v>
      </c>
      <c r="P162" s="42" t="b">
        <v>0</v>
      </c>
      <c r="Q162" s="43" t="s">
        <v>47</v>
      </c>
      <c r="R162" s="21"/>
      <c r="S162" s="21"/>
      <c r="T162" s="21"/>
      <c r="U162" s="38"/>
      <c r="AA162" s="20"/>
    </row>
    <row r="163" ht="22.5" customHeight="1">
      <c r="A163" s="38" t="s">
        <v>402</v>
      </c>
      <c r="B163" s="32"/>
      <c r="C163" s="32" t="str">
        <f t="array" ref="C163">IF(A163="","",_xlfn.XLOOKUP(A163,Catalogo_BR!$A$2:$A$277,Catalogo_BR!$B$2:$B$277,"",0))</f>
        <v>Pit-Fighter</v>
      </c>
      <c r="D163" s="32"/>
      <c r="E163" s="28" t="str">
        <f t="shared" si="1"/>
        <v>Não possuo</v>
      </c>
      <c r="F163" s="40" t="s">
        <v>100</v>
      </c>
      <c r="G163" s="41">
        <v>3.0</v>
      </c>
      <c r="H163" s="41">
        <v>2.0</v>
      </c>
      <c r="I163" s="42">
        <v>1992.0</v>
      </c>
      <c r="J163" s="41" t="s">
        <v>75</v>
      </c>
      <c r="K163" s="41" t="s">
        <v>76</v>
      </c>
      <c r="L163" s="41" t="s">
        <v>253</v>
      </c>
      <c r="M163" s="28" t="b">
        <v>0</v>
      </c>
      <c r="N163" s="28" t="b">
        <v>0</v>
      </c>
      <c r="O163" s="28" t="b">
        <v>0</v>
      </c>
      <c r="P163" s="42" t="b">
        <v>0</v>
      </c>
      <c r="Q163" s="43" t="s">
        <v>47</v>
      </c>
      <c r="R163" s="21"/>
      <c r="S163" s="21"/>
      <c r="T163" s="21"/>
      <c r="U163" s="38"/>
      <c r="AA163" s="20"/>
    </row>
    <row r="164" ht="22.5" customHeight="1">
      <c r="A164" s="38" t="s">
        <v>413</v>
      </c>
      <c r="B164" s="32"/>
      <c r="C164" s="32" t="str">
        <f t="array" ref="C164">IF(A164="","",_xlfn.XLOOKUP(A164,Catalogo_BR!$A$2:$A$277,Catalogo_BR!$B$2:$B$277,"",0))</f>
        <v>Prince of Persia</v>
      </c>
      <c r="D164" s="32"/>
      <c r="E164" s="28" t="str">
        <f t="shared" si="1"/>
        <v>Não possuo</v>
      </c>
      <c r="F164" s="40" t="s">
        <v>100</v>
      </c>
      <c r="G164" s="41">
        <v>3.0</v>
      </c>
      <c r="H164" s="41">
        <v>3.0</v>
      </c>
      <c r="I164" s="42">
        <v>1992.0</v>
      </c>
      <c r="J164" s="41" t="s">
        <v>75</v>
      </c>
      <c r="K164" s="41" t="s">
        <v>76</v>
      </c>
      <c r="L164" s="41" t="s">
        <v>253</v>
      </c>
      <c r="M164" s="28" t="b">
        <v>0</v>
      </c>
      <c r="N164" s="28" t="b">
        <v>0</v>
      </c>
      <c r="O164" s="28" t="b">
        <v>0</v>
      </c>
      <c r="P164" s="42" t="b">
        <v>0</v>
      </c>
      <c r="Q164" s="43" t="s">
        <v>47</v>
      </c>
      <c r="R164" s="21"/>
      <c r="S164" s="21"/>
      <c r="T164" s="21"/>
      <c r="U164" s="38"/>
      <c r="AA164" s="20"/>
    </row>
    <row r="165" ht="22.5" customHeight="1">
      <c r="A165" s="38" t="s">
        <v>418</v>
      </c>
      <c r="B165" s="32"/>
      <c r="C165" s="32" t="str">
        <f t="array" ref="C165">IF(A165="","",_xlfn.XLOOKUP(A165,Catalogo_BR!$A$2:$A$277,Catalogo_BR!$B$2:$B$277,"",0))</f>
        <v>Psycho Fox</v>
      </c>
      <c r="D165" s="32"/>
      <c r="E165" s="28" t="str">
        <f t="shared" si="1"/>
        <v>Não possuo</v>
      </c>
      <c r="F165" s="40" t="s">
        <v>53</v>
      </c>
      <c r="G165" s="41">
        <v>3.0</v>
      </c>
      <c r="H165" s="41">
        <v>4.0</v>
      </c>
      <c r="I165" s="42">
        <v>1989.0</v>
      </c>
      <c r="J165" s="41" t="s">
        <v>75</v>
      </c>
      <c r="K165" s="41" t="s">
        <v>76</v>
      </c>
      <c r="L165" s="41" t="s">
        <v>253</v>
      </c>
      <c r="M165" s="28" t="b">
        <v>0</v>
      </c>
      <c r="N165" s="28" t="b">
        <v>0</v>
      </c>
      <c r="O165" s="28" t="b">
        <v>0</v>
      </c>
      <c r="P165" s="42" t="b">
        <v>0</v>
      </c>
      <c r="Q165" s="43" t="s">
        <v>47</v>
      </c>
      <c r="R165" s="21"/>
      <c r="S165" s="21"/>
      <c r="T165" s="21"/>
      <c r="U165" s="38"/>
      <c r="AA165" s="20"/>
    </row>
    <row r="166" ht="22.5" customHeight="1">
      <c r="A166" s="38" t="s">
        <v>421</v>
      </c>
      <c r="B166" s="32"/>
      <c r="C166" s="32" t="str">
        <f t="array" ref="C166">IF(A166="","",_xlfn.XLOOKUP(A166,Catalogo_BR!$A$2:$A$277,Catalogo_BR!$B$2:$B$277,"",0))</f>
        <v>Quest for the Shaven Yak Starring Ren Hoëk &amp; Stimpy</v>
      </c>
      <c r="D166" s="32"/>
      <c r="E166" s="28" t="str">
        <f t="shared" si="1"/>
        <v>Não possuo</v>
      </c>
      <c r="F166" s="40" t="s">
        <v>100</v>
      </c>
      <c r="G166" s="41">
        <v>3.0</v>
      </c>
      <c r="H166" s="41">
        <v>2.0</v>
      </c>
      <c r="I166" s="42">
        <v>1995.0</v>
      </c>
      <c r="J166" s="41" t="s">
        <v>75</v>
      </c>
      <c r="K166" s="41" t="s">
        <v>76</v>
      </c>
      <c r="L166" s="41" t="s">
        <v>253</v>
      </c>
      <c r="M166" s="28" t="b">
        <v>0</v>
      </c>
      <c r="N166" s="28" t="b">
        <v>0</v>
      </c>
      <c r="O166" s="28" t="b">
        <v>0</v>
      </c>
      <c r="P166" s="42" t="b">
        <v>0</v>
      </c>
      <c r="Q166" s="43" t="s">
        <v>47</v>
      </c>
      <c r="R166" s="21"/>
      <c r="S166" s="21"/>
      <c r="T166" s="21"/>
      <c r="U166" s="38"/>
      <c r="AA166" s="20"/>
    </row>
    <row r="167" ht="22.5" customHeight="1">
      <c r="A167" s="38" t="s">
        <v>424</v>
      </c>
      <c r="B167" s="32"/>
      <c r="C167" s="32" t="str">
        <f t="array" ref="C167">IF(A167="","",_xlfn.XLOOKUP(A167,Catalogo_BR!$A$2:$A$277,Catalogo_BR!$B$2:$B$277,"",0))</f>
        <v>R-Type</v>
      </c>
      <c r="D167" s="32"/>
      <c r="E167" s="28" t="str">
        <f t="shared" si="1"/>
        <v>Não possuo</v>
      </c>
      <c r="F167" s="40" t="s">
        <v>53</v>
      </c>
      <c r="G167" s="41">
        <v>3.0</v>
      </c>
      <c r="H167" s="41">
        <v>5.0</v>
      </c>
      <c r="I167" s="42">
        <v>1988.0</v>
      </c>
      <c r="J167" s="41" t="s">
        <v>75</v>
      </c>
      <c r="K167" s="41" t="s">
        <v>76</v>
      </c>
      <c r="L167" s="41" t="s">
        <v>253</v>
      </c>
      <c r="M167" s="28" t="b">
        <v>0</v>
      </c>
      <c r="N167" s="28" t="b">
        <v>0</v>
      </c>
      <c r="O167" s="28" t="b">
        <v>0</v>
      </c>
      <c r="P167" s="42" t="b">
        <v>0</v>
      </c>
      <c r="Q167" s="43" t="s">
        <v>47</v>
      </c>
      <c r="R167" s="21"/>
      <c r="S167" s="21"/>
      <c r="T167" s="21"/>
      <c r="U167" s="38"/>
      <c r="AA167" s="20"/>
    </row>
    <row r="168" ht="22.5" customHeight="1">
      <c r="A168" s="38" t="s">
        <v>429</v>
      </c>
      <c r="B168" s="32"/>
      <c r="C168" s="32" t="str">
        <f t="array" ref="C168">IF(A168="","",_xlfn.XLOOKUP(A168,Catalogo_BR!$A$2:$A$277,Catalogo_BR!$B$2:$B$277,"",0))</f>
        <v>Rainbow Islands</v>
      </c>
      <c r="D168" s="32"/>
      <c r="E168" s="28" t="str">
        <f t="shared" si="1"/>
        <v>Não possuo</v>
      </c>
      <c r="F168" s="40" t="s">
        <v>89</v>
      </c>
      <c r="G168" s="41">
        <v>3.0</v>
      </c>
      <c r="H168" s="41">
        <v>3.0</v>
      </c>
      <c r="I168" s="42">
        <v>1993.0</v>
      </c>
      <c r="J168" s="41" t="s">
        <v>75</v>
      </c>
      <c r="K168" s="41" t="s">
        <v>76</v>
      </c>
      <c r="L168" s="41" t="s">
        <v>253</v>
      </c>
      <c r="M168" s="28" t="b">
        <v>0</v>
      </c>
      <c r="N168" s="28" t="b">
        <v>0</v>
      </c>
      <c r="O168" s="28" t="b">
        <v>0</v>
      </c>
      <c r="P168" s="42" t="b">
        <v>0</v>
      </c>
      <c r="Q168" s="43" t="s">
        <v>47</v>
      </c>
      <c r="R168" s="21"/>
      <c r="S168" s="21"/>
      <c r="T168" s="21"/>
      <c r="U168" s="38"/>
      <c r="AA168" s="20"/>
    </row>
    <row r="169" ht="22.5" customHeight="1">
      <c r="A169" s="38" t="s">
        <v>442</v>
      </c>
      <c r="B169" s="32"/>
      <c r="C169" s="32" t="str">
        <f t="array" ref="C169">IF(A169="","",_xlfn.XLOOKUP(A169,Catalogo_BR!$A$2:$A$277,Catalogo_BR!$B$2:$B$277,"",0))</f>
        <v>RoboCop 3</v>
      </c>
      <c r="D169" s="32"/>
      <c r="E169" s="28" t="str">
        <f t="shared" si="1"/>
        <v>Não possuo</v>
      </c>
      <c r="F169" s="40" t="s">
        <v>89</v>
      </c>
      <c r="G169" s="41">
        <v>3.0</v>
      </c>
      <c r="H169" s="41">
        <v>3.0</v>
      </c>
      <c r="I169" s="42">
        <v>1993.0</v>
      </c>
      <c r="J169" s="41" t="s">
        <v>75</v>
      </c>
      <c r="K169" s="41" t="s">
        <v>76</v>
      </c>
      <c r="L169" s="41" t="s">
        <v>253</v>
      </c>
      <c r="M169" s="28" t="b">
        <v>0</v>
      </c>
      <c r="N169" s="28" t="b">
        <v>0</v>
      </c>
      <c r="O169" s="28" t="b">
        <v>0</v>
      </c>
      <c r="P169" s="42" t="b">
        <v>0</v>
      </c>
      <c r="Q169" s="43" t="s">
        <v>47</v>
      </c>
      <c r="R169" s="21"/>
      <c r="S169" s="21"/>
      <c r="T169" s="21"/>
      <c r="U169" s="38"/>
      <c r="AA169" s="20"/>
    </row>
    <row r="170" ht="22.5" customHeight="1">
      <c r="A170" s="38" t="s">
        <v>452</v>
      </c>
      <c r="B170" s="32"/>
      <c r="C170" s="32" t="str">
        <f t="array" ref="C170">IF(A170="","",_xlfn.XLOOKUP(A170,Catalogo_BR!$A$2:$A$277,Catalogo_BR!$B$2:$B$277,"",0))</f>
        <v>Sapo Xulé vs. Os Invasores do Brejo</v>
      </c>
      <c r="D170" s="32"/>
      <c r="E170" s="28" t="str">
        <f t="shared" si="1"/>
        <v>Não possuo</v>
      </c>
      <c r="F170" s="40" t="s">
        <v>100</v>
      </c>
      <c r="G170" s="41">
        <v>3.0</v>
      </c>
      <c r="H170" s="41">
        <v>3.0</v>
      </c>
      <c r="I170" s="42">
        <v>1995.0</v>
      </c>
      <c r="J170" s="41" t="s">
        <v>75</v>
      </c>
      <c r="K170" s="41" t="s">
        <v>76</v>
      </c>
      <c r="L170" s="41" t="s">
        <v>253</v>
      </c>
      <c r="M170" s="28" t="b">
        <v>0</v>
      </c>
      <c r="N170" s="28" t="b">
        <v>0</v>
      </c>
      <c r="O170" s="28" t="b">
        <v>0</v>
      </c>
      <c r="P170" s="42" t="b">
        <v>0</v>
      </c>
      <c r="Q170" s="43" t="s">
        <v>47</v>
      </c>
      <c r="R170" s="21"/>
      <c r="S170" s="21"/>
      <c r="T170" s="21"/>
      <c r="U170" s="38"/>
      <c r="AA170" s="20"/>
    </row>
    <row r="171" ht="22.5" customHeight="1">
      <c r="A171" s="38" t="s">
        <v>454</v>
      </c>
      <c r="B171" s="32"/>
      <c r="C171" s="32" t="str">
        <f t="array" ref="C171">IF(A171="","",_xlfn.XLOOKUP(A171,Catalogo_BR!$A$2:$A$277,Catalogo_BR!$B$2:$B$277,"",0))</f>
        <v>Sapo Xulé: O Mestre do Kung Fu</v>
      </c>
      <c r="D171" s="32"/>
      <c r="E171" s="28" t="str">
        <f t="shared" si="1"/>
        <v>Não possuo</v>
      </c>
      <c r="F171" s="40" t="s">
        <v>89</v>
      </c>
      <c r="G171" s="41">
        <v>3.0</v>
      </c>
      <c r="H171" s="41">
        <v>3.0</v>
      </c>
      <c r="I171" s="42">
        <v>1995.0</v>
      </c>
      <c r="J171" s="41" t="s">
        <v>75</v>
      </c>
      <c r="K171" s="41" t="s">
        <v>76</v>
      </c>
      <c r="L171" s="41" t="s">
        <v>253</v>
      </c>
      <c r="M171" s="28" t="b">
        <v>0</v>
      </c>
      <c r="N171" s="28" t="b">
        <v>0</v>
      </c>
      <c r="O171" s="28" t="b">
        <v>0</v>
      </c>
      <c r="P171" s="42" t="b">
        <v>0</v>
      </c>
      <c r="Q171" s="43" t="s">
        <v>47</v>
      </c>
      <c r="R171" s="21"/>
      <c r="S171" s="21"/>
      <c r="T171" s="21"/>
      <c r="U171" s="38"/>
      <c r="AA171" s="20"/>
    </row>
    <row r="172" ht="22.5" customHeight="1">
      <c r="A172" s="38" t="s">
        <v>456</v>
      </c>
      <c r="B172" s="32"/>
      <c r="C172" s="32" t="str">
        <f t="array" ref="C172">IF(A172="","",_xlfn.XLOOKUP(A172,Catalogo_BR!$A$2:$A$277,Catalogo_BR!$B$2:$B$277,"",0))</f>
        <v>Sapo Xulé: S.O.S. Lagoa Poluída</v>
      </c>
      <c r="D172" s="32"/>
      <c r="E172" s="28" t="str">
        <f t="shared" si="1"/>
        <v>Não possuo</v>
      </c>
      <c r="F172" s="40" t="s">
        <v>89</v>
      </c>
      <c r="G172" s="41">
        <v>3.0</v>
      </c>
      <c r="H172" s="41">
        <v>3.0</v>
      </c>
      <c r="I172" s="42">
        <v>1995.0</v>
      </c>
      <c r="J172" s="41" t="s">
        <v>75</v>
      </c>
      <c r="K172" s="41" t="s">
        <v>76</v>
      </c>
      <c r="L172" s="41" t="s">
        <v>253</v>
      </c>
      <c r="M172" s="28" t="b">
        <v>0</v>
      </c>
      <c r="N172" s="28" t="b">
        <v>0</v>
      </c>
      <c r="O172" s="28" t="b">
        <v>0</v>
      </c>
      <c r="P172" s="42" t="b">
        <v>0</v>
      </c>
      <c r="Q172" s="43" t="s">
        <v>47</v>
      </c>
      <c r="R172" s="21"/>
      <c r="S172" s="21"/>
      <c r="T172" s="21"/>
      <c r="U172" s="38"/>
      <c r="AA172" s="20"/>
    </row>
    <row r="173" ht="22.5" customHeight="1">
      <c r="A173" s="38" t="s">
        <v>484</v>
      </c>
      <c r="B173" s="32"/>
      <c r="C173" s="32" t="str">
        <f t="array" ref="C173">IF(A173="","",_xlfn.XLOOKUP(A173,Catalogo_BR!$A$2:$A$277,Catalogo_BR!$B$2:$B$277,"",0))</f>
        <v>Sonic The Hedgehog: Spinball</v>
      </c>
      <c r="D173" s="32"/>
      <c r="E173" s="28" t="str">
        <f t="shared" si="1"/>
        <v>Não possuo</v>
      </c>
      <c r="F173" s="40" t="s">
        <v>100</v>
      </c>
      <c r="G173" s="41">
        <v>3.0</v>
      </c>
      <c r="H173" s="41">
        <v>3.0</v>
      </c>
      <c r="I173" s="42">
        <v>1995.0</v>
      </c>
      <c r="J173" s="41" t="s">
        <v>75</v>
      </c>
      <c r="K173" s="41" t="s">
        <v>76</v>
      </c>
      <c r="L173" s="41" t="s">
        <v>253</v>
      </c>
      <c r="M173" s="28" t="b">
        <v>0</v>
      </c>
      <c r="N173" s="28" t="b">
        <v>0</v>
      </c>
      <c r="O173" s="28" t="b">
        <v>0</v>
      </c>
      <c r="P173" s="42" t="b">
        <v>0</v>
      </c>
      <c r="Q173" s="43" t="s">
        <v>47</v>
      </c>
      <c r="R173" s="21"/>
      <c r="S173" s="21"/>
      <c r="T173" s="21"/>
      <c r="U173" s="38"/>
      <c r="AA173" s="20"/>
    </row>
    <row r="174" ht="22.5" customHeight="1">
      <c r="A174" s="38" t="s">
        <v>491</v>
      </c>
      <c r="B174" s="32"/>
      <c r="C174" s="32" t="str">
        <f t="array" ref="C174">IF(A174="","",_xlfn.XLOOKUP(A174,Catalogo_BR!$A$2:$A$277,Catalogo_BR!$B$2:$B$277,"",0))</f>
        <v>Spider-Man: Return of the Sinister Six</v>
      </c>
      <c r="D174" s="32"/>
      <c r="E174" s="28" t="str">
        <f t="shared" si="1"/>
        <v>Não possuo</v>
      </c>
      <c r="F174" s="40" t="s">
        <v>100</v>
      </c>
      <c r="G174" s="41">
        <v>3.0</v>
      </c>
      <c r="H174" s="41">
        <v>3.0</v>
      </c>
      <c r="I174" s="42">
        <v>1993.0</v>
      </c>
      <c r="J174" s="41" t="s">
        <v>75</v>
      </c>
      <c r="K174" s="41" t="s">
        <v>76</v>
      </c>
      <c r="L174" s="41" t="s">
        <v>253</v>
      </c>
      <c r="M174" s="28" t="b">
        <v>0</v>
      </c>
      <c r="N174" s="28" t="b">
        <v>0</v>
      </c>
      <c r="O174" s="28" t="b">
        <v>0</v>
      </c>
      <c r="P174" s="42" t="b">
        <v>0</v>
      </c>
      <c r="Q174" s="43" t="s">
        <v>47</v>
      </c>
      <c r="R174" s="21"/>
      <c r="S174" s="21"/>
      <c r="T174" s="21"/>
      <c r="U174" s="38"/>
      <c r="AA174" s="20"/>
    </row>
    <row r="175" ht="22.5" customHeight="1">
      <c r="A175" s="38" t="s">
        <v>500</v>
      </c>
      <c r="B175" s="32"/>
      <c r="C175" s="32" t="str">
        <f t="array" ref="C175">IF(A175="","",_xlfn.XLOOKUP(A175,Catalogo_BR!$A$2:$A$277,Catalogo_BR!$B$2:$B$277,"",0))</f>
        <v>Streets of Rage II</v>
      </c>
      <c r="D175" s="32"/>
      <c r="E175" s="28" t="str">
        <f t="shared" si="1"/>
        <v>Não possuo</v>
      </c>
      <c r="F175" s="40" t="s">
        <v>100</v>
      </c>
      <c r="G175" s="41">
        <v>3.0</v>
      </c>
      <c r="H175" s="41">
        <v>4.0</v>
      </c>
      <c r="I175" s="42">
        <v>1994.0</v>
      </c>
      <c r="J175" s="41" t="s">
        <v>75</v>
      </c>
      <c r="K175" s="41" t="s">
        <v>76</v>
      </c>
      <c r="L175" s="41" t="s">
        <v>253</v>
      </c>
      <c r="M175" s="28" t="b">
        <v>0</v>
      </c>
      <c r="N175" s="28" t="b">
        <v>0</v>
      </c>
      <c r="O175" s="28" t="b">
        <v>0</v>
      </c>
      <c r="P175" s="42" t="b">
        <v>0</v>
      </c>
      <c r="Q175" s="43" t="s">
        <v>47</v>
      </c>
      <c r="R175" s="21"/>
      <c r="S175" s="21"/>
      <c r="T175" s="21"/>
      <c r="U175" s="38"/>
      <c r="AA175" s="20"/>
    </row>
    <row r="176" ht="22.5" customHeight="1">
      <c r="A176" s="38" t="s">
        <v>504</v>
      </c>
      <c r="B176" s="32"/>
      <c r="C176" s="32" t="str">
        <f t="array" ref="C176">IF(A176="","",_xlfn.XLOOKUP(A176,Catalogo_BR!$A$2:$A$277,Catalogo_BR!$B$2:$B$277,"",0))</f>
        <v>Strider II</v>
      </c>
      <c r="D176" s="32"/>
      <c r="E176" s="28" t="str">
        <f t="shared" si="1"/>
        <v>Não possuo</v>
      </c>
      <c r="F176" s="40" t="s">
        <v>100</v>
      </c>
      <c r="G176" s="41">
        <v>3.0</v>
      </c>
      <c r="H176" s="41">
        <v>3.0</v>
      </c>
      <c r="I176" s="42">
        <v>1993.0</v>
      </c>
      <c r="J176" s="41" t="s">
        <v>75</v>
      </c>
      <c r="K176" s="41" t="s">
        <v>76</v>
      </c>
      <c r="L176" s="41" t="s">
        <v>253</v>
      </c>
      <c r="M176" s="28" t="b">
        <v>0</v>
      </c>
      <c r="N176" s="28" t="b">
        <v>0</v>
      </c>
      <c r="O176" s="28" t="b">
        <v>0</v>
      </c>
      <c r="P176" s="42" t="b">
        <v>0</v>
      </c>
      <c r="Q176" s="43" t="s">
        <v>47</v>
      </c>
      <c r="R176" s="21"/>
      <c r="S176" s="21"/>
      <c r="T176" s="21"/>
      <c r="U176" s="38"/>
      <c r="AA176" s="20"/>
    </row>
    <row r="177" ht="22.5" customHeight="1">
      <c r="A177" s="38" t="s">
        <v>507</v>
      </c>
      <c r="B177" s="32"/>
      <c r="C177" s="32" t="str">
        <f t="array" ref="C177">IF(A177="","",_xlfn.XLOOKUP(A177,Catalogo_BR!$A$2:$A$277,Catalogo_BR!$B$2:$B$277,"",0))</f>
        <v>Super Cross</v>
      </c>
      <c r="D177" s="32"/>
      <c r="E177" s="28" t="str">
        <f t="shared" si="1"/>
        <v>Não possuo</v>
      </c>
      <c r="F177" s="40" t="s">
        <v>53</v>
      </c>
      <c r="G177" s="41">
        <v>3.0</v>
      </c>
      <c r="H177" s="41">
        <v>2.0</v>
      </c>
      <c r="I177" s="42">
        <v>1987.0</v>
      </c>
      <c r="J177" s="41" t="s">
        <v>75</v>
      </c>
      <c r="K177" s="41" t="s">
        <v>76</v>
      </c>
      <c r="L177" s="41" t="s">
        <v>253</v>
      </c>
      <c r="M177" s="28" t="b">
        <v>0</v>
      </c>
      <c r="N177" s="28" t="b">
        <v>0</v>
      </c>
      <c r="O177" s="28" t="b">
        <v>0</v>
      </c>
      <c r="P177" s="42" t="b">
        <v>0</v>
      </c>
      <c r="Q177" s="43" t="s">
        <v>47</v>
      </c>
      <c r="R177" s="21"/>
      <c r="S177" s="21"/>
      <c r="T177" s="21"/>
      <c r="U177" s="38"/>
      <c r="AA177" s="20"/>
    </row>
    <row r="178" ht="22.5" customHeight="1">
      <c r="A178" s="38" t="s">
        <v>523</v>
      </c>
      <c r="B178" s="32"/>
      <c r="C178" s="32" t="str">
        <f t="array" ref="C178">IF(A178="","",_xlfn.XLOOKUP(A178,Catalogo_BR!$A$2:$A$277,Catalogo_BR!$B$2:$B$277,"",0))</f>
        <v>Taz in Escape From Mars</v>
      </c>
      <c r="D178" s="32"/>
      <c r="E178" s="28" t="str">
        <f t="shared" si="1"/>
        <v>Não possuo</v>
      </c>
      <c r="F178" s="40" t="s">
        <v>89</v>
      </c>
      <c r="G178" s="41">
        <v>3.0</v>
      </c>
      <c r="H178" s="41">
        <v>3.0</v>
      </c>
      <c r="I178" s="42">
        <v>1997.0</v>
      </c>
      <c r="J178" s="41" t="s">
        <v>75</v>
      </c>
      <c r="K178" s="41" t="s">
        <v>76</v>
      </c>
      <c r="L178" s="41" t="s">
        <v>253</v>
      </c>
      <c r="M178" s="28" t="b">
        <v>0</v>
      </c>
      <c r="N178" s="28" t="b">
        <v>0</v>
      </c>
      <c r="O178" s="28" t="b">
        <v>0</v>
      </c>
      <c r="P178" s="42" t="b">
        <v>0</v>
      </c>
      <c r="Q178" s="43" t="s">
        <v>47</v>
      </c>
      <c r="R178" s="21"/>
      <c r="S178" s="21"/>
      <c r="T178" s="21"/>
      <c r="U178" s="38"/>
      <c r="AA178" s="20"/>
    </row>
    <row r="179" ht="22.5" customHeight="1">
      <c r="A179" s="38" t="s">
        <v>543</v>
      </c>
      <c r="B179" s="32"/>
      <c r="C179" s="32" t="str">
        <f t="array" ref="C179">IF(A179="","",_xlfn.XLOOKUP(A179,Catalogo_BR!$A$2:$A$277,Catalogo_BR!$B$2:$B$277,"",0))</f>
        <v>The Ottifants</v>
      </c>
      <c r="D179" s="32"/>
      <c r="E179" s="28" t="str">
        <f t="shared" si="1"/>
        <v>Não possuo</v>
      </c>
      <c r="F179" s="40" t="s">
        <v>100</v>
      </c>
      <c r="G179" s="41">
        <v>3.0</v>
      </c>
      <c r="H179" s="41">
        <v>3.0</v>
      </c>
      <c r="I179" s="42">
        <v>1993.0</v>
      </c>
      <c r="J179" s="41" t="s">
        <v>75</v>
      </c>
      <c r="K179" s="41" t="s">
        <v>76</v>
      </c>
      <c r="L179" s="41" t="s">
        <v>253</v>
      </c>
      <c r="M179" s="28" t="b">
        <v>0</v>
      </c>
      <c r="N179" s="28" t="b">
        <v>0</v>
      </c>
      <c r="O179" s="28" t="b">
        <v>0</v>
      </c>
      <c r="P179" s="42" t="b">
        <v>0</v>
      </c>
      <c r="Q179" s="43" t="s">
        <v>47</v>
      </c>
      <c r="R179" s="21"/>
      <c r="S179" s="21"/>
      <c r="T179" s="21"/>
      <c r="U179" s="38"/>
      <c r="AA179" s="20"/>
    </row>
    <row r="180" ht="22.5" customHeight="1">
      <c r="A180" s="38" t="s">
        <v>549</v>
      </c>
      <c r="B180" s="32"/>
      <c r="C180" s="32" t="str">
        <f t="array" ref="C180">IF(A180="","",_xlfn.XLOOKUP(A180,Catalogo_BR!$A$2:$A$277,Catalogo_BR!$B$2:$B$277,"",0))</f>
        <v>The Simpsons: Bart vs. The World</v>
      </c>
      <c r="D180" s="32"/>
      <c r="E180" s="28" t="str">
        <f t="shared" si="1"/>
        <v>Não possuo</v>
      </c>
      <c r="F180" s="40" t="s">
        <v>100</v>
      </c>
      <c r="G180" s="41">
        <v>3.0</v>
      </c>
      <c r="H180" s="41">
        <v>3.0</v>
      </c>
      <c r="I180" s="42">
        <v>1993.0</v>
      </c>
      <c r="J180" s="41" t="s">
        <v>75</v>
      </c>
      <c r="K180" s="41" t="s">
        <v>76</v>
      </c>
      <c r="L180" s="41" t="s">
        <v>253</v>
      </c>
      <c r="M180" s="28" t="b">
        <v>0</v>
      </c>
      <c r="N180" s="28" t="b">
        <v>0</v>
      </c>
      <c r="O180" s="28" t="b">
        <v>0</v>
      </c>
      <c r="P180" s="42" t="b">
        <v>0</v>
      </c>
      <c r="Q180" s="43" t="s">
        <v>47</v>
      </c>
      <c r="R180" s="21"/>
      <c r="S180" s="21"/>
      <c r="T180" s="21"/>
      <c r="U180" s="38"/>
      <c r="AA180" s="20"/>
    </row>
    <row r="181" ht="22.5" customHeight="1">
      <c r="A181" s="38" t="s">
        <v>551</v>
      </c>
      <c r="B181" s="32"/>
      <c r="C181" s="32" t="str">
        <f t="array" ref="C181">IF(A181="","",_xlfn.XLOOKUP(A181,Catalogo_BR!$A$2:$A$277,Catalogo_BR!$B$2:$B$277,"",0))</f>
        <v>The Smurfs</v>
      </c>
      <c r="D181" s="32"/>
      <c r="E181" s="28" t="str">
        <f t="shared" si="1"/>
        <v>Não possuo</v>
      </c>
      <c r="F181" s="40" t="s">
        <v>89</v>
      </c>
      <c r="G181" s="41">
        <v>3.0</v>
      </c>
      <c r="H181" s="41">
        <v>3.0</v>
      </c>
      <c r="I181" s="42">
        <v>1995.0</v>
      </c>
      <c r="J181" s="41" t="s">
        <v>75</v>
      </c>
      <c r="K181" s="41" t="s">
        <v>76</v>
      </c>
      <c r="L181" s="41" t="s">
        <v>253</v>
      </c>
      <c r="M181" s="28" t="b">
        <v>0</v>
      </c>
      <c r="N181" s="28" t="b">
        <v>0</v>
      </c>
      <c r="O181" s="28" t="b">
        <v>0</v>
      </c>
      <c r="P181" s="42" t="b">
        <v>0</v>
      </c>
      <c r="Q181" s="43" t="s">
        <v>47</v>
      </c>
      <c r="R181" s="21"/>
      <c r="S181" s="21"/>
      <c r="T181" s="21"/>
      <c r="U181" s="38"/>
      <c r="AA181" s="20"/>
    </row>
    <row r="182" ht="22.5" customHeight="1">
      <c r="A182" s="38" t="s">
        <v>553</v>
      </c>
      <c r="B182" s="32"/>
      <c r="C182" s="32" t="str">
        <f t="array" ref="C182">IF(A182="","",_xlfn.XLOOKUP(A182,Catalogo_BR!$A$2:$A$277,Catalogo_BR!$B$2:$B$277,"",0))</f>
        <v>The Terminator</v>
      </c>
      <c r="D182" s="32"/>
      <c r="E182" s="28" t="str">
        <f t="shared" si="1"/>
        <v>Não possuo</v>
      </c>
      <c r="F182" s="40" t="s">
        <v>100</v>
      </c>
      <c r="G182" s="41">
        <v>3.0</v>
      </c>
      <c r="H182" s="41">
        <v>3.0</v>
      </c>
      <c r="I182" s="42">
        <v>1992.0</v>
      </c>
      <c r="J182" s="41" t="s">
        <v>75</v>
      </c>
      <c r="K182" s="41" t="s">
        <v>76</v>
      </c>
      <c r="L182" s="41" t="s">
        <v>253</v>
      </c>
      <c r="M182" s="28" t="b">
        <v>0</v>
      </c>
      <c r="N182" s="28" t="b">
        <v>0</v>
      </c>
      <c r="O182" s="28" t="b">
        <v>0</v>
      </c>
      <c r="P182" s="42" t="b">
        <v>0</v>
      </c>
      <c r="Q182" s="43" t="s">
        <v>47</v>
      </c>
      <c r="R182" s="21"/>
      <c r="S182" s="21"/>
      <c r="T182" s="21"/>
      <c r="U182" s="38"/>
      <c r="AA182" s="20"/>
    </row>
    <row r="183" ht="22.5" customHeight="1">
      <c r="A183" s="38" t="s">
        <v>564</v>
      </c>
      <c r="B183" s="32"/>
      <c r="C183" s="32" t="str">
        <f t="array" ref="C183">IF(A183="","",_xlfn.XLOOKUP(A183,Catalogo_BR!$A$2:$A$277,Catalogo_BR!$B$2:$B$277,"",0))</f>
        <v>Ultimate Soccer</v>
      </c>
      <c r="D183" s="32"/>
      <c r="E183" s="28" t="str">
        <f t="shared" si="1"/>
        <v>Não possuo</v>
      </c>
      <c r="F183" s="40" t="s">
        <v>100</v>
      </c>
      <c r="G183" s="41">
        <v>3.0</v>
      </c>
      <c r="H183" s="41">
        <v>2.0</v>
      </c>
      <c r="I183" s="42">
        <v>1993.0</v>
      </c>
      <c r="J183" s="41" t="s">
        <v>75</v>
      </c>
      <c r="K183" s="41" t="s">
        <v>76</v>
      </c>
      <c r="L183" s="41" t="s">
        <v>253</v>
      </c>
      <c r="M183" s="28" t="b">
        <v>0</v>
      </c>
      <c r="N183" s="28" t="b">
        <v>0</v>
      </c>
      <c r="O183" s="28" t="b">
        <v>0</v>
      </c>
      <c r="P183" s="42" t="b">
        <v>0</v>
      </c>
      <c r="Q183" s="43" t="s">
        <v>47</v>
      </c>
      <c r="R183" s="21"/>
      <c r="S183" s="21"/>
      <c r="T183" s="21"/>
      <c r="U183" s="38"/>
      <c r="AA183" s="20"/>
    </row>
    <row r="184" ht="22.5" customHeight="1">
      <c r="A184" s="38" t="s">
        <v>577</v>
      </c>
      <c r="B184" s="32"/>
      <c r="C184" s="32" t="str">
        <f t="array" ref="C184">IF(A184="","",_xlfn.XLOOKUP(A184,Catalogo_BR!$A$2:$A$277,Catalogo_BR!$B$2:$B$277,"",0))</f>
        <v>Wolfchild</v>
      </c>
      <c r="D184" s="32"/>
      <c r="E184" s="28" t="str">
        <f t="shared" si="1"/>
        <v>Não possuo</v>
      </c>
      <c r="F184" s="40" t="s">
        <v>100</v>
      </c>
      <c r="G184" s="41">
        <v>3.0</v>
      </c>
      <c r="H184" s="41">
        <v>3.0</v>
      </c>
      <c r="I184" s="42">
        <v>1993.0</v>
      </c>
      <c r="J184" s="41" t="s">
        <v>75</v>
      </c>
      <c r="K184" s="41" t="s">
        <v>76</v>
      </c>
      <c r="L184" s="41" t="s">
        <v>253</v>
      </c>
      <c r="M184" s="28" t="b">
        <v>0</v>
      </c>
      <c r="N184" s="28" t="b">
        <v>0</v>
      </c>
      <c r="O184" s="28" t="b">
        <v>0</v>
      </c>
      <c r="P184" s="42" t="b">
        <v>0</v>
      </c>
      <c r="Q184" s="43" t="s">
        <v>47</v>
      </c>
      <c r="R184" s="21"/>
      <c r="S184" s="21"/>
      <c r="T184" s="21"/>
      <c r="U184" s="38"/>
      <c r="AA184" s="20"/>
    </row>
    <row r="185" ht="22.5" customHeight="1">
      <c r="A185" s="38" t="s">
        <v>581</v>
      </c>
      <c r="B185" s="32"/>
      <c r="C185" s="32" t="str">
        <f t="array" ref="C185">IF(A185="","",_xlfn.XLOOKUP(A185,Catalogo_BR!$A$2:$A$277,Catalogo_BR!$B$2:$B$277,"",0))</f>
        <v>World Class Leader Board</v>
      </c>
      <c r="D185" s="32"/>
      <c r="E185" s="28" t="str">
        <f t="shared" si="1"/>
        <v>Não possuo</v>
      </c>
      <c r="F185" s="40" t="s">
        <v>140</v>
      </c>
      <c r="G185" s="41">
        <v>3.0</v>
      </c>
      <c r="H185" s="41">
        <v>2.0</v>
      </c>
      <c r="I185" s="42">
        <v>1991.0</v>
      </c>
      <c r="J185" s="41" t="s">
        <v>75</v>
      </c>
      <c r="K185" s="41" t="s">
        <v>76</v>
      </c>
      <c r="L185" s="41" t="s">
        <v>253</v>
      </c>
      <c r="M185" s="28" t="b">
        <v>0</v>
      </c>
      <c r="N185" s="28" t="b">
        <v>0</v>
      </c>
      <c r="O185" s="28" t="b">
        <v>0</v>
      </c>
      <c r="P185" s="42" t="b">
        <v>0</v>
      </c>
      <c r="Q185" s="43" t="s">
        <v>47</v>
      </c>
      <c r="R185" s="21"/>
      <c r="S185" s="21"/>
      <c r="T185" s="21"/>
      <c r="U185" s="38"/>
      <c r="AA185" s="20"/>
    </row>
    <row r="186" ht="22.5" customHeight="1">
      <c r="A186" s="38" t="s">
        <v>590</v>
      </c>
      <c r="B186" s="32"/>
      <c r="C186" s="32" t="str">
        <f t="array" ref="C186">IF(A186="","",_xlfn.XLOOKUP(A186,Catalogo_BR!$A$2:$A$277,Catalogo_BR!$B$2:$B$277,"",0))</f>
        <v>WWF Wrestlemania Steel Cage Challenge</v>
      </c>
      <c r="D186" s="32"/>
      <c r="E186" s="28" t="str">
        <f t="shared" si="1"/>
        <v>Não possuo</v>
      </c>
      <c r="F186" s="40" t="s">
        <v>100</v>
      </c>
      <c r="G186" s="41">
        <v>3.0</v>
      </c>
      <c r="H186" s="41">
        <v>2.0</v>
      </c>
      <c r="I186" s="42">
        <v>1993.0</v>
      </c>
      <c r="J186" s="41" t="s">
        <v>75</v>
      </c>
      <c r="K186" s="41" t="s">
        <v>76</v>
      </c>
      <c r="L186" s="41" t="s">
        <v>253</v>
      </c>
      <c r="M186" s="28" t="b">
        <v>0</v>
      </c>
      <c r="N186" s="28" t="b">
        <v>0</v>
      </c>
      <c r="O186" s="28" t="b">
        <v>0</v>
      </c>
      <c r="P186" s="42" t="b">
        <v>0</v>
      </c>
      <c r="Q186" s="43" t="s">
        <v>47</v>
      </c>
      <c r="R186" s="21"/>
      <c r="S186" s="21"/>
      <c r="T186" s="21"/>
      <c r="U186" s="38"/>
      <c r="AA186" s="20"/>
    </row>
    <row r="187" ht="22.5" customHeight="1">
      <c r="A187" s="38" t="s">
        <v>251</v>
      </c>
      <c r="B187" s="32"/>
      <c r="C187" s="32" t="str">
        <f t="array" ref="C187">IF(A187="","",_xlfn.XLOOKUP(A187,Catalogo_BR!$A$2:$A$277,Catalogo_BR!$B$2:$B$277,"",0))</f>
        <v>Game Box série Corridas</v>
      </c>
      <c r="D187" s="32"/>
      <c r="E187" s="28" t="str">
        <f t="shared" si="1"/>
        <v>Boxed</v>
      </c>
      <c r="F187" s="40" t="s">
        <v>254</v>
      </c>
      <c r="G187" s="41">
        <v>0.0</v>
      </c>
      <c r="H187" s="41">
        <v>3.0</v>
      </c>
      <c r="I187" s="42">
        <v>1996.0</v>
      </c>
      <c r="J187" s="41" t="s">
        <v>75</v>
      </c>
      <c r="K187" s="41" t="s">
        <v>76</v>
      </c>
      <c r="L187" s="41" t="s">
        <v>599</v>
      </c>
      <c r="M187" s="28" t="b">
        <v>1</v>
      </c>
      <c r="N187" s="28" t="b">
        <v>1</v>
      </c>
      <c r="O187" s="28" t="b">
        <v>1</v>
      </c>
      <c r="P187" s="42" t="b">
        <v>0</v>
      </c>
      <c r="Q187" s="43" t="s">
        <v>47</v>
      </c>
      <c r="R187" s="21"/>
      <c r="S187" s="21"/>
      <c r="T187" s="21"/>
      <c r="U187" s="38"/>
      <c r="AA187" s="20"/>
    </row>
    <row r="188" ht="22.5" customHeight="1">
      <c r="A188" s="38" t="s">
        <v>255</v>
      </c>
      <c r="B188" s="32"/>
      <c r="C188" s="32" t="str">
        <f t="array" ref="C188">IF(A188="","",_xlfn.XLOOKUP(A188,Catalogo_BR!$A$2:$A$277,Catalogo_BR!$B$2:$B$277,"",0))</f>
        <v>Game Box série Esportes</v>
      </c>
      <c r="D188" s="32"/>
      <c r="E188" s="28" t="str">
        <f t="shared" si="1"/>
        <v>Boxed</v>
      </c>
      <c r="F188" s="40" t="s">
        <v>254</v>
      </c>
      <c r="G188" s="41">
        <v>0.0</v>
      </c>
      <c r="H188" s="41">
        <v>3.0</v>
      </c>
      <c r="I188" s="42">
        <v>1996.0</v>
      </c>
      <c r="J188" s="41" t="s">
        <v>75</v>
      </c>
      <c r="K188" s="41" t="s">
        <v>76</v>
      </c>
      <c r="L188" s="41" t="s">
        <v>599</v>
      </c>
      <c r="M188" s="28" t="b">
        <v>1</v>
      </c>
      <c r="N188" s="28" t="b">
        <v>1</v>
      </c>
      <c r="O188" s="28" t="b">
        <v>1</v>
      </c>
      <c r="P188" s="42" t="b">
        <v>0</v>
      </c>
      <c r="Q188" s="43" t="s">
        <v>47</v>
      </c>
      <c r="R188" s="21"/>
      <c r="S188" s="21"/>
      <c r="T188" s="21"/>
      <c r="U188" s="38"/>
      <c r="AA188" s="20"/>
    </row>
    <row r="189" ht="22.5" customHeight="1">
      <c r="A189" s="38" t="s">
        <v>462</v>
      </c>
      <c r="B189" s="32"/>
      <c r="C189" s="32" t="str">
        <f t="array" ref="C189">IF(A189="","",_xlfn.XLOOKUP(A189,Catalogo_BR!$A$2:$A$277,Catalogo_BR!$B$2:$B$277,"",0))</f>
        <v>Shadow of the Beast</v>
      </c>
      <c r="D189" s="32"/>
      <c r="E189" s="28" t="str">
        <f t="shared" si="1"/>
        <v>Boxed</v>
      </c>
      <c r="F189" s="40" t="s">
        <v>100</v>
      </c>
      <c r="G189" s="41">
        <v>3.0</v>
      </c>
      <c r="H189" s="41">
        <v>3.0</v>
      </c>
      <c r="I189" s="42">
        <v>1991.0</v>
      </c>
      <c r="J189" s="41" t="s">
        <v>127</v>
      </c>
      <c r="K189" s="41" t="s">
        <v>76</v>
      </c>
      <c r="L189" s="41" t="s">
        <v>599</v>
      </c>
      <c r="M189" s="28" t="b">
        <v>1</v>
      </c>
      <c r="N189" s="28" t="b">
        <v>1</v>
      </c>
      <c r="O189" s="28" t="b">
        <v>1</v>
      </c>
      <c r="P189" s="42" t="b">
        <v>0</v>
      </c>
      <c r="Q189" s="43" t="s">
        <v>47</v>
      </c>
      <c r="R189" s="21"/>
      <c r="S189" s="21"/>
      <c r="T189" s="21"/>
      <c r="U189" s="38"/>
      <c r="AA189" s="20"/>
    </row>
    <row r="190" ht="22.5" customHeight="1">
      <c r="A190" s="38" t="s">
        <v>571</v>
      </c>
      <c r="B190" s="32"/>
      <c r="C190" s="32" t="str">
        <f t="array" ref="C190">IF(A190="","",_xlfn.XLOOKUP(A190,Catalogo_BR!$A$2:$A$277,Catalogo_BR!$B$2:$B$277,"",0))</f>
        <v>Where in the World is Carmen Sandiego?</v>
      </c>
      <c r="D190" s="32"/>
      <c r="E190" s="28" t="str">
        <f t="shared" si="1"/>
        <v>Boxed</v>
      </c>
      <c r="F190" s="40" t="s">
        <v>100</v>
      </c>
      <c r="G190" s="41">
        <v>3.0</v>
      </c>
      <c r="H190" s="41">
        <v>3.0</v>
      </c>
      <c r="I190" s="42">
        <v>1988.0</v>
      </c>
      <c r="J190" s="41" t="s">
        <v>127</v>
      </c>
      <c r="K190" s="41" t="s">
        <v>76</v>
      </c>
      <c r="L190" s="41" t="s">
        <v>599</v>
      </c>
      <c r="M190" s="28" t="b">
        <v>1</v>
      </c>
      <c r="N190" s="28" t="b">
        <v>1</v>
      </c>
      <c r="O190" s="28" t="b">
        <v>1</v>
      </c>
      <c r="P190" s="42" t="b">
        <v>0</v>
      </c>
      <c r="Q190" s="43" t="s">
        <v>47</v>
      </c>
      <c r="R190" s="21"/>
      <c r="S190" s="21"/>
      <c r="T190" s="21"/>
      <c r="U190" s="38"/>
      <c r="AA190" s="20"/>
    </row>
    <row r="191" ht="22.5" customHeight="1">
      <c r="A191" s="38" t="s">
        <v>575</v>
      </c>
      <c r="B191" s="32"/>
      <c r="C191" s="32" t="str">
        <f t="array" ref="C191">IF(A191="","",_xlfn.XLOOKUP(A191,Catalogo_BR!$A$2:$A$277,Catalogo_BR!$B$2:$B$277,"",0))</f>
        <v>Winter Olympics</v>
      </c>
      <c r="D191" s="32"/>
      <c r="E191" s="28" t="str">
        <f t="shared" si="1"/>
        <v>Boxed</v>
      </c>
      <c r="F191" s="40" t="s">
        <v>100</v>
      </c>
      <c r="G191" s="41">
        <v>0.0</v>
      </c>
      <c r="H191" s="41">
        <v>2.0</v>
      </c>
      <c r="I191" s="42">
        <v>1994.0</v>
      </c>
      <c r="J191" s="41" t="s">
        <v>75</v>
      </c>
      <c r="K191" s="41" t="s">
        <v>76</v>
      </c>
      <c r="L191" s="41" t="s">
        <v>599</v>
      </c>
      <c r="M191" s="28" t="b">
        <v>1</v>
      </c>
      <c r="N191" s="28" t="b">
        <v>1</v>
      </c>
      <c r="O191" s="28" t="b">
        <v>1</v>
      </c>
      <c r="P191" s="42" t="b">
        <v>0</v>
      </c>
      <c r="Q191" s="43" t="s">
        <v>47</v>
      </c>
      <c r="R191" s="21"/>
      <c r="S191" s="21"/>
      <c r="T191" s="21"/>
      <c r="U191" s="38"/>
      <c r="AA191" s="20"/>
    </row>
    <row r="192" ht="22.5" customHeight="1">
      <c r="A192" s="38" t="s">
        <v>233</v>
      </c>
      <c r="B192" s="32"/>
      <c r="C192" s="32" t="str">
        <f t="array" ref="C192">IF(A192="","",_xlfn.XLOOKUP(A192,Catalogo_BR!$A$2:$A$277,Catalogo_BR!$B$2:$B$277,"",0))</f>
        <v>Fantasy Zone: The Maze</v>
      </c>
      <c r="D192" s="32"/>
      <c r="E192" s="28" t="str">
        <f t="shared" si="1"/>
        <v>CIB</v>
      </c>
      <c r="F192" s="40" t="s">
        <v>53</v>
      </c>
      <c r="G192" s="41">
        <v>0.0</v>
      </c>
      <c r="H192" s="41">
        <v>3.0</v>
      </c>
      <c r="I192" s="42">
        <v>1987.0</v>
      </c>
      <c r="J192" s="41" t="s">
        <v>75</v>
      </c>
      <c r="K192" s="41" t="s">
        <v>76</v>
      </c>
      <c r="L192" s="41" t="s">
        <v>599</v>
      </c>
      <c r="M192" s="28" t="b">
        <v>1</v>
      </c>
      <c r="N192" s="28" t="b">
        <v>1</v>
      </c>
      <c r="O192" s="28" t="b">
        <v>1</v>
      </c>
      <c r="P192" s="42" t="b">
        <v>1</v>
      </c>
      <c r="Q192" s="43" t="s">
        <v>47</v>
      </c>
      <c r="R192" s="21"/>
      <c r="S192" s="21"/>
      <c r="T192" s="21"/>
      <c r="U192" s="38"/>
      <c r="AA192" s="20"/>
    </row>
    <row r="193" ht="22.5" customHeight="1">
      <c r="A193" s="38" t="s">
        <v>248</v>
      </c>
      <c r="B193" s="32"/>
      <c r="C193" s="32" t="str">
        <f t="array" ref="C193">IF(A193="","",_xlfn.XLOOKUP(A193,Catalogo_BR!$A$2:$A$277,Catalogo_BR!$B$2:$B$277,"",0))</f>
        <v>Galaxy Force</v>
      </c>
      <c r="D193" s="32"/>
      <c r="E193" s="28" t="str">
        <f t="shared" si="1"/>
        <v>CIB</v>
      </c>
      <c r="F193" s="40" t="s">
        <v>53</v>
      </c>
      <c r="G193" s="41">
        <v>0.0</v>
      </c>
      <c r="H193" s="41">
        <v>3.0</v>
      </c>
      <c r="I193" s="42">
        <v>1989.0</v>
      </c>
      <c r="J193" s="41" t="s">
        <v>75</v>
      </c>
      <c r="K193" s="41" t="s">
        <v>76</v>
      </c>
      <c r="L193" s="41" t="s">
        <v>599</v>
      </c>
      <c r="M193" s="28" t="b">
        <v>1</v>
      </c>
      <c r="N193" s="28" t="b">
        <v>1</v>
      </c>
      <c r="O193" s="28" t="b">
        <v>1</v>
      </c>
      <c r="P193" s="42" t="b">
        <v>1</v>
      </c>
      <c r="Q193" s="43" t="s">
        <v>47</v>
      </c>
      <c r="R193" s="21"/>
      <c r="S193" s="21"/>
      <c r="T193" s="21"/>
      <c r="U193" s="38" t="s">
        <v>290</v>
      </c>
      <c r="AA193" s="20"/>
    </row>
    <row r="194" ht="22.5" customHeight="1">
      <c r="A194" s="38" t="s">
        <v>393</v>
      </c>
      <c r="B194" s="32"/>
      <c r="C194" s="32" t="str">
        <f t="array" ref="C194">IF(A194="","",_xlfn.XLOOKUP(A194,Catalogo_BR!$A$2:$A$277,Catalogo_BR!$B$2:$B$277,"",0))</f>
        <v>Out Run 3D</v>
      </c>
      <c r="D194" s="32"/>
      <c r="E194" s="28" t="str">
        <f t="shared" si="1"/>
        <v>CIB</v>
      </c>
      <c r="F194" s="40" t="s">
        <v>53</v>
      </c>
      <c r="G194" s="41">
        <v>0.0</v>
      </c>
      <c r="H194" s="41">
        <v>4.0</v>
      </c>
      <c r="I194" s="42">
        <v>1989.0</v>
      </c>
      <c r="J194" s="41" t="s">
        <v>75</v>
      </c>
      <c r="K194" s="41" t="s">
        <v>76</v>
      </c>
      <c r="L194" s="41" t="s">
        <v>599</v>
      </c>
      <c r="M194" s="28" t="b">
        <v>1</v>
      </c>
      <c r="N194" s="28" t="b">
        <v>1</v>
      </c>
      <c r="O194" s="28" t="b">
        <v>1</v>
      </c>
      <c r="P194" s="42" t="b">
        <v>1</v>
      </c>
      <c r="Q194" s="43" t="s">
        <v>47</v>
      </c>
      <c r="R194" s="21"/>
      <c r="S194" s="21"/>
      <c r="T194" s="21"/>
      <c r="U194" s="38"/>
      <c r="AA194" s="20"/>
    </row>
    <row r="195" ht="22.5" customHeight="1">
      <c r="A195" s="38" t="s">
        <v>404</v>
      </c>
      <c r="B195" s="32"/>
      <c r="C195" s="32" t="str">
        <f t="array" ref="C195">IF(A195="","",_xlfn.XLOOKUP(A195,Catalogo_BR!$A$2:$A$277,Catalogo_BR!$B$2:$B$277,"",0))</f>
        <v>Populous</v>
      </c>
      <c r="D195" s="32"/>
      <c r="E195" s="28" t="str">
        <f t="shared" si="1"/>
        <v>CIB</v>
      </c>
      <c r="F195" s="40" t="s">
        <v>100</v>
      </c>
      <c r="G195" s="41">
        <v>0.0</v>
      </c>
      <c r="H195" s="41">
        <v>3.0</v>
      </c>
      <c r="I195" s="42">
        <v>1991.0</v>
      </c>
      <c r="J195" s="41" t="s">
        <v>46</v>
      </c>
      <c r="K195" s="41" t="s">
        <v>76</v>
      </c>
      <c r="L195" s="41" t="s">
        <v>599</v>
      </c>
      <c r="M195" s="28" t="b">
        <v>1</v>
      </c>
      <c r="N195" s="28" t="b">
        <v>1</v>
      </c>
      <c r="O195" s="28" t="b">
        <v>1</v>
      </c>
      <c r="P195" s="42" t="b">
        <v>1</v>
      </c>
      <c r="Q195" s="43" t="s">
        <v>47</v>
      </c>
      <c r="R195" s="21"/>
      <c r="S195" s="21"/>
      <c r="T195" s="21"/>
      <c r="U195" s="38"/>
      <c r="AA195" s="20"/>
    </row>
    <row r="196" ht="22.5" customHeight="1">
      <c r="A196" s="38" t="s">
        <v>509</v>
      </c>
      <c r="B196" s="32"/>
      <c r="C196" s="32" t="str">
        <f t="array" ref="C196">IF(A196="","",_xlfn.XLOOKUP(A196,Catalogo_BR!$A$2:$A$277,Catalogo_BR!$B$2:$B$277,"",0))</f>
        <v>Super Futebol</v>
      </c>
      <c r="D196" s="32"/>
      <c r="E196" s="28" t="str">
        <f t="shared" si="1"/>
        <v>CIB</v>
      </c>
      <c r="F196" s="40" t="s">
        <v>53</v>
      </c>
      <c r="G196" s="41">
        <v>0.0</v>
      </c>
      <c r="H196" s="41">
        <v>2.0</v>
      </c>
      <c r="I196" s="42">
        <v>1987.0</v>
      </c>
      <c r="J196" s="41" t="s">
        <v>75</v>
      </c>
      <c r="K196" s="41" t="s">
        <v>76</v>
      </c>
      <c r="L196" s="41" t="s">
        <v>599</v>
      </c>
      <c r="M196" s="28" t="b">
        <v>1</v>
      </c>
      <c r="N196" s="28" t="b">
        <v>1</v>
      </c>
      <c r="O196" s="28" t="b">
        <v>1</v>
      </c>
      <c r="P196" s="42" t="b">
        <v>1</v>
      </c>
      <c r="Q196" s="43" t="s">
        <v>47</v>
      </c>
      <c r="R196" s="21"/>
      <c r="S196" s="21"/>
      <c r="T196" s="21"/>
      <c r="U196" s="38"/>
      <c r="AA196" s="20"/>
    </row>
    <row r="197" ht="22.5" customHeight="1">
      <c r="A197" s="38" t="s">
        <v>511</v>
      </c>
      <c r="B197" s="32"/>
      <c r="C197" s="32" t="str">
        <f t="array" ref="C197">IF(A197="","",_xlfn.XLOOKUP(A197,Catalogo_BR!$A$2:$A$277,Catalogo_BR!$B$2:$B$277,"",0))</f>
        <v>Super Futebol II</v>
      </c>
      <c r="D197" s="32" t="s">
        <v>600</v>
      </c>
      <c r="E197" s="28" t="str">
        <f t="shared" si="1"/>
        <v>CIB</v>
      </c>
      <c r="F197" s="40" t="s">
        <v>53</v>
      </c>
      <c r="G197" s="41">
        <v>0.0</v>
      </c>
      <c r="H197" s="41">
        <v>2.0</v>
      </c>
      <c r="I197" s="42">
        <v>1990.0</v>
      </c>
      <c r="J197" s="41" t="s">
        <v>75</v>
      </c>
      <c r="K197" s="41" t="s">
        <v>76</v>
      </c>
      <c r="L197" s="41" t="s">
        <v>599</v>
      </c>
      <c r="M197" s="28" t="b">
        <v>1</v>
      </c>
      <c r="N197" s="28" t="b">
        <v>1</v>
      </c>
      <c r="O197" s="28" t="b">
        <v>1</v>
      </c>
      <c r="P197" s="42" t="b">
        <v>1</v>
      </c>
      <c r="Q197" s="43" t="s">
        <v>47</v>
      </c>
      <c r="R197" s="21"/>
      <c r="S197" s="21"/>
      <c r="T197" s="21"/>
      <c r="U197" s="38" t="s">
        <v>290</v>
      </c>
      <c r="AA197" s="20"/>
    </row>
    <row r="198" ht="22.5" customHeight="1">
      <c r="A198" s="38" t="s">
        <v>533</v>
      </c>
      <c r="B198" s="32"/>
      <c r="C198" s="32" t="str">
        <f t="array" ref="C198">IF(A198="","",_xlfn.XLOOKUP(A198,Catalogo_BR!$A$2:$A$277,Catalogo_BR!$B$2:$B$277,"",0))</f>
        <v>The Incredible Hulk</v>
      </c>
      <c r="D198" s="32"/>
      <c r="E198" s="28" t="str">
        <f t="shared" si="1"/>
        <v>CIB</v>
      </c>
      <c r="F198" s="40" t="s">
        <v>100</v>
      </c>
      <c r="G198" s="41">
        <v>0.0</v>
      </c>
      <c r="H198" s="41">
        <v>3.0</v>
      </c>
      <c r="I198" s="42">
        <v>1994.0</v>
      </c>
      <c r="J198" s="41" t="s">
        <v>75</v>
      </c>
      <c r="K198" s="41" t="s">
        <v>76</v>
      </c>
      <c r="L198" s="41" t="s">
        <v>599</v>
      </c>
      <c r="M198" s="28" t="b">
        <v>1</v>
      </c>
      <c r="N198" s="28" t="b">
        <v>1</v>
      </c>
      <c r="O198" s="28" t="b">
        <v>1</v>
      </c>
      <c r="P198" s="42" t="b">
        <v>1</v>
      </c>
      <c r="Q198" s="43" t="s">
        <v>47</v>
      </c>
      <c r="R198" s="21"/>
      <c r="S198" s="21"/>
      <c r="T198" s="21"/>
      <c r="U198" s="38"/>
      <c r="AA198" s="20"/>
    </row>
    <row r="199" ht="22.5" customHeight="1">
      <c r="A199" s="38" t="s">
        <v>537</v>
      </c>
      <c r="B199" s="32"/>
      <c r="C199" s="32" t="str">
        <f t="array" ref="C199">IF(A199="","",_xlfn.XLOOKUP(A199,Catalogo_BR!$A$2:$A$277,Catalogo_BR!$B$2:$B$277,"",0))</f>
        <v>The Lion King</v>
      </c>
      <c r="D199" s="32"/>
      <c r="E199" s="28" t="str">
        <f t="shared" si="1"/>
        <v>CIB</v>
      </c>
      <c r="F199" s="40" t="s">
        <v>100</v>
      </c>
      <c r="G199" s="41">
        <v>0.0</v>
      </c>
      <c r="H199" s="41">
        <v>3.0</v>
      </c>
      <c r="I199" s="42">
        <v>1994.0</v>
      </c>
      <c r="J199" s="41" t="s">
        <v>75</v>
      </c>
      <c r="K199" s="41" t="s">
        <v>76</v>
      </c>
      <c r="L199" s="41" t="s">
        <v>599</v>
      </c>
      <c r="M199" s="28" t="b">
        <v>1</v>
      </c>
      <c r="N199" s="28" t="b">
        <v>1</v>
      </c>
      <c r="O199" s="28" t="b">
        <v>1</v>
      </c>
      <c r="P199" s="42" t="b">
        <v>1</v>
      </c>
      <c r="Q199" s="43" t="s">
        <v>47</v>
      </c>
      <c r="R199" s="21"/>
      <c r="S199" s="21"/>
      <c r="T199" s="21"/>
      <c r="U199" s="38"/>
      <c r="AA199" s="20"/>
    </row>
    <row r="200" ht="22.5" customHeight="1">
      <c r="A200" s="38" t="s">
        <v>579</v>
      </c>
      <c r="B200" s="32"/>
      <c r="C200" s="32" t="str">
        <f t="array" ref="C200">IF(A200="","",_xlfn.XLOOKUP(A200,Catalogo_BR!$A$2:$A$277,Catalogo_BR!$B$2:$B$277,"",0))</f>
        <v>Wonder Boy</v>
      </c>
      <c r="D200" s="32"/>
      <c r="E200" s="28" t="str">
        <f t="shared" si="1"/>
        <v>CIB</v>
      </c>
      <c r="F200" s="40" t="s">
        <v>53</v>
      </c>
      <c r="G200" s="41">
        <v>0.0</v>
      </c>
      <c r="H200" s="41">
        <v>3.0</v>
      </c>
      <c r="I200" s="42">
        <v>1988.0</v>
      </c>
      <c r="J200" s="41" t="s">
        <v>75</v>
      </c>
      <c r="K200" s="41" t="s">
        <v>76</v>
      </c>
      <c r="L200" s="41" t="s">
        <v>599</v>
      </c>
      <c r="M200" s="28" t="b">
        <v>1</v>
      </c>
      <c r="N200" s="28" t="b">
        <v>1</v>
      </c>
      <c r="O200" s="28" t="b">
        <v>1</v>
      </c>
      <c r="P200" s="42" t="b">
        <v>1</v>
      </c>
      <c r="Q200" s="43" t="s">
        <v>47</v>
      </c>
      <c r="R200" s="21"/>
      <c r="S200" s="21"/>
      <c r="T200" s="21"/>
      <c r="U200" s="38"/>
      <c r="AA200" s="20"/>
    </row>
    <row r="201" ht="22.5" customHeight="1">
      <c r="A201" s="38" t="s">
        <v>587</v>
      </c>
      <c r="B201" s="32"/>
      <c r="C201" s="32" t="str">
        <f t="array" ref="C201">IF(A201="","",_xlfn.XLOOKUP(A201,Catalogo_BR!$A$2:$A$277,Catalogo_BR!$B$2:$B$277,"",0))</f>
        <v>World Grand Prix</v>
      </c>
      <c r="D201" s="32"/>
      <c r="E201" s="28" t="str">
        <f t="shared" si="1"/>
        <v>CIB</v>
      </c>
      <c r="F201" s="40" t="s">
        <v>53</v>
      </c>
      <c r="G201" s="41">
        <v>0.0</v>
      </c>
      <c r="H201" s="41">
        <v>3.0</v>
      </c>
      <c r="I201" s="42">
        <v>1986.0</v>
      </c>
      <c r="J201" s="41" t="s">
        <v>75</v>
      </c>
      <c r="K201" s="41" t="s">
        <v>76</v>
      </c>
      <c r="L201" s="41" t="s">
        <v>599</v>
      </c>
      <c r="M201" s="28" t="b">
        <v>1</v>
      </c>
      <c r="N201" s="28" t="b">
        <v>1</v>
      </c>
      <c r="O201" s="28" t="b">
        <v>1</v>
      </c>
      <c r="P201" s="42" t="b">
        <v>1</v>
      </c>
      <c r="Q201" s="43" t="s">
        <v>47</v>
      </c>
      <c r="R201" s="21"/>
      <c r="S201" s="21"/>
      <c r="T201" s="21"/>
      <c r="U201" s="38" t="s">
        <v>290</v>
      </c>
      <c r="AA201" s="20"/>
    </row>
    <row r="202" ht="22.5" customHeight="1">
      <c r="A202" s="38" t="s">
        <v>193</v>
      </c>
      <c r="B202" s="32"/>
      <c r="C202" s="32" t="str">
        <f t="array" ref="C202">IF(A202="","",_xlfn.XLOOKUP(A202,Catalogo_BR!$A$2:$A$277,Catalogo_BR!$B$2:$B$277,"",0))</f>
        <v>Desert Speedtrap starring Road Runner and Wile E. Coyote</v>
      </c>
      <c r="D202" s="32"/>
      <c r="E202" s="28" t="str">
        <f t="shared" si="1"/>
        <v>CIB</v>
      </c>
      <c r="F202" s="40" t="s">
        <v>100</v>
      </c>
      <c r="G202" s="41">
        <v>3.0</v>
      </c>
      <c r="H202" s="41">
        <v>3.0</v>
      </c>
      <c r="I202" s="42">
        <v>1993.0</v>
      </c>
      <c r="J202" s="41" t="s">
        <v>75</v>
      </c>
      <c r="K202" s="41" t="s">
        <v>76</v>
      </c>
      <c r="L202" s="41" t="s">
        <v>599</v>
      </c>
      <c r="M202" s="28" t="b">
        <v>1</v>
      </c>
      <c r="N202" s="28" t="b">
        <v>1</v>
      </c>
      <c r="O202" s="28" t="b">
        <v>1</v>
      </c>
      <c r="P202" s="42" t="b">
        <v>1</v>
      </c>
      <c r="Q202" s="43" t="s">
        <v>47</v>
      </c>
      <c r="R202" s="21"/>
      <c r="S202" s="21"/>
      <c r="T202" s="21"/>
      <c r="U202" s="38"/>
      <c r="AA202" s="20"/>
    </row>
    <row r="203" ht="22.5" customHeight="1">
      <c r="A203" s="38" t="s">
        <v>525</v>
      </c>
      <c r="B203" s="32"/>
      <c r="C203" s="32" t="str">
        <f t="array" ref="C203">IF(A203="","",_xlfn.XLOOKUP(A203,Catalogo_BR!$A$2:$A$277,Catalogo_BR!$B$2:$B$277,"",0))</f>
        <v>Taz-Mania</v>
      </c>
      <c r="D203" s="32"/>
      <c r="E203" s="28" t="str">
        <f t="shared" si="1"/>
        <v>CIB</v>
      </c>
      <c r="F203" s="40" t="s">
        <v>140</v>
      </c>
      <c r="G203" s="41">
        <v>0.0</v>
      </c>
      <c r="H203" s="41">
        <v>3.0</v>
      </c>
      <c r="I203" s="42">
        <v>1993.0</v>
      </c>
      <c r="J203" s="41" t="s">
        <v>75</v>
      </c>
      <c r="K203" s="41" t="s">
        <v>76</v>
      </c>
      <c r="L203" s="41" t="s">
        <v>599</v>
      </c>
      <c r="M203" s="28" t="b">
        <v>1</v>
      </c>
      <c r="N203" s="28" t="b">
        <v>1</v>
      </c>
      <c r="O203" s="28" t="b">
        <v>1</v>
      </c>
      <c r="P203" s="42" t="b">
        <v>1</v>
      </c>
      <c r="Q203" s="43" t="s">
        <v>47</v>
      </c>
      <c r="R203" s="21"/>
      <c r="S203" s="21"/>
      <c r="T203" s="21"/>
      <c r="U203" s="38" t="s">
        <v>601</v>
      </c>
      <c r="AA203" s="20"/>
    </row>
    <row r="204" ht="22.5" customHeight="1">
      <c r="A204" s="38" t="s">
        <v>541</v>
      </c>
      <c r="B204" s="32"/>
      <c r="C204" s="32" t="str">
        <f t="array" ref="C204">IF(A204="","",_xlfn.XLOOKUP(A204,Catalogo_BR!$A$2:$A$277,Catalogo_BR!$B$2:$B$277,"",0))</f>
        <v>The Ninja</v>
      </c>
      <c r="D204" s="32"/>
      <c r="E204" s="28" t="str">
        <f t="shared" si="1"/>
        <v>CIB</v>
      </c>
      <c r="F204" s="40" t="s">
        <v>140</v>
      </c>
      <c r="G204" s="41">
        <v>0.0</v>
      </c>
      <c r="H204" s="41">
        <v>3.0</v>
      </c>
      <c r="I204" s="42">
        <v>1986.0</v>
      </c>
      <c r="J204" s="41" t="s">
        <v>75</v>
      </c>
      <c r="K204" s="41" t="s">
        <v>76</v>
      </c>
      <c r="L204" s="41" t="s">
        <v>599</v>
      </c>
      <c r="M204" s="28" t="b">
        <v>1</v>
      </c>
      <c r="N204" s="28" t="b">
        <v>1</v>
      </c>
      <c r="O204" s="28" t="b">
        <v>1</v>
      </c>
      <c r="P204" s="42" t="b">
        <v>1</v>
      </c>
      <c r="Q204" s="43" t="s">
        <v>47</v>
      </c>
      <c r="R204" s="21"/>
      <c r="S204" s="21"/>
      <c r="T204" s="21"/>
      <c r="U204" s="38"/>
      <c r="AA204" s="20"/>
    </row>
    <row r="205" ht="22.5" customHeight="1">
      <c r="A205" s="38" t="s">
        <v>226</v>
      </c>
      <c r="B205" s="32"/>
      <c r="C205" s="32" t="str">
        <f t="array" ref="C205">IF(A205="","",_xlfn.XLOOKUP(A205,Catalogo_BR!$A$2:$A$277,Catalogo_BR!$B$2:$B$277,"",0))</f>
        <v>F-16 Fighter</v>
      </c>
      <c r="D205" s="32"/>
      <c r="E205" s="28" t="str">
        <f t="shared" si="1"/>
        <v>CIB</v>
      </c>
      <c r="F205" s="40" t="s">
        <v>39</v>
      </c>
      <c r="G205" s="41">
        <v>0.0</v>
      </c>
      <c r="H205" s="41">
        <v>3.0</v>
      </c>
      <c r="I205" s="42">
        <v>1986.0</v>
      </c>
      <c r="J205" s="41" t="s">
        <v>75</v>
      </c>
      <c r="K205" s="41" t="s">
        <v>76</v>
      </c>
      <c r="L205" s="41" t="s">
        <v>599</v>
      </c>
      <c r="M205" s="28" t="b">
        <v>1</v>
      </c>
      <c r="N205" s="28" t="b">
        <v>1</v>
      </c>
      <c r="O205" s="28" t="b">
        <v>1</v>
      </c>
      <c r="P205" s="42" t="b">
        <v>1</v>
      </c>
      <c r="Q205" s="43" t="s">
        <v>47</v>
      </c>
      <c r="R205" s="21"/>
      <c r="S205" s="21"/>
      <c r="T205" s="21"/>
      <c r="U205" s="38"/>
      <c r="AA205" s="20"/>
    </row>
    <row r="206" ht="22.5" customHeight="1">
      <c r="A206" s="38" t="s">
        <v>244</v>
      </c>
      <c r="B206" s="32"/>
      <c r="C206" s="32" t="str">
        <f t="array" ref="C206">IF(A206="","",_xlfn.XLOOKUP(A206,Catalogo_BR!$A$2:$A$277,Catalogo_BR!$B$2:$B$277,"",0))</f>
        <v>G-Loc</v>
      </c>
      <c r="D206" s="32"/>
      <c r="E206" s="28" t="str">
        <f t="shared" si="1"/>
        <v>CIB</v>
      </c>
      <c r="F206" s="40" t="s">
        <v>39</v>
      </c>
      <c r="G206" s="41">
        <v>0.0</v>
      </c>
      <c r="H206" s="41">
        <v>3.0</v>
      </c>
      <c r="I206" s="42">
        <v>1991.0</v>
      </c>
      <c r="J206" s="41" t="s">
        <v>75</v>
      </c>
      <c r="K206" s="41" t="s">
        <v>76</v>
      </c>
      <c r="L206" s="41" t="s">
        <v>599</v>
      </c>
      <c r="M206" s="28" t="b">
        <v>1</v>
      </c>
      <c r="N206" s="28" t="b">
        <v>1</v>
      </c>
      <c r="O206" s="28" t="b">
        <v>1</v>
      </c>
      <c r="P206" s="42" t="b">
        <v>1</v>
      </c>
      <c r="Q206" s="43" t="s">
        <v>47</v>
      </c>
      <c r="R206" s="21"/>
      <c r="S206" s="21"/>
      <c r="T206" s="21"/>
      <c r="U206" s="38"/>
      <c r="AA206" s="20"/>
    </row>
    <row r="207" ht="22.5" customHeight="1">
      <c r="A207" s="38" t="s">
        <v>262</v>
      </c>
      <c r="B207" s="32"/>
      <c r="C207" s="32" t="str">
        <f t="array" ref="C207">IF(A207="","",_xlfn.XLOOKUP(A207,Catalogo_BR!$A$2:$A$277,Catalogo_BR!$B$2:$B$277,"",0))</f>
        <v>Gang's Fighter</v>
      </c>
      <c r="D207" s="32"/>
      <c r="E207" s="28" t="str">
        <f t="shared" si="1"/>
        <v>CIB</v>
      </c>
      <c r="F207" s="40" t="s">
        <v>39</v>
      </c>
      <c r="G207" s="41">
        <v>0.0</v>
      </c>
      <c r="H207" s="41">
        <v>2.0</v>
      </c>
      <c r="I207" s="42">
        <v>1986.0</v>
      </c>
      <c r="J207" s="41" t="s">
        <v>75</v>
      </c>
      <c r="K207" s="41" t="s">
        <v>76</v>
      </c>
      <c r="L207" s="41" t="s">
        <v>599</v>
      </c>
      <c r="M207" s="28" t="b">
        <v>1</v>
      </c>
      <c r="N207" s="28" t="b">
        <v>1</v>
      </c>
      <c r="O207" s="28" t="b">
        <v>1</v>
      </c>
      <c r="P207" s="42" t="b">
        <v>1</v>
      </c>
      <c r="Q207" s="43" t="s">
        <v>47</v>
      </c>
      <c r="R207" s="21"/>
      <c r="S207" s="21"/>
      <c r="T207" s="21"/>
      <c r="U207" s="38"/>
      <c r="AA207" s="20"/>
    </row>
    <row r="208" ht="22.5" customHeight="1">
      <c r="A208" s="38" t="s">
        <v>381</v>
      </c>
      <c r="B208" s="32"/>
      <c r="C208" s="32" t="str">
        <f t="array" ref="C208">IF(A208="","",_xlfn.XLOOKUP(A208,Catalogo_BR!$A$2:$A$277,Catalogo_BR!$B$2:$B$277,"",0))</f>
        <v>Ms. Pac-Man</v>
      </c>
      <c r="D208" s="32"/>
      <c r="E208" s="28" t="str">
        <f t="shared" si="1"/>
        <v>CIB</v>
      </c>
      <c r="F208" s="40" t="s">
        <v>39</v>
      </c>
      <c r="G208" s="41">
        <v>0.0</v>
      </c>
      <c r="H208" s="41">
        <v>3.0</v>
      </c>
      <c r="I208" s="42">
        <v>1991.0</v>
      </c>
      <c r="J208" s="41" t="s">
        <v>75</v>
      </c>
      <c r="K208" s="41" t="s">
        <v>76</v>
      </c>
      <c r="L208" s="41" t="s">
        <v>599</v>
      </c>
      <c r="M208" s="28" t="b">
        <v>1</v>
      </c>
      <c r="N208" s="28" t="b">
        <v>1</v>
      </c>
      <c r="O208" s="28" t="b">
        <v>1</v>
      </c>
      <c r="P208" s="42" t="b">
        <v>1</v>
      </c>
      <c r="Q208" s="43" t="s">
        <v>47</v>
      </c>
      <c r="R208" s="21"/>
      <c r="S208" s="21"/>
      <c r="T208" s="21"/>
      <c r="U208" s="38"/>
      <c r="AA208" s="20"/>
    </row>
    <row r="209" ht="22.5" customHeight="1">
      <c r="A209" s="38" t="s">
        <v>384</v>
      </c>
      <c r="B209" s="32"/>
      <c r="C209" s="32" t="str">
        <f t="array" ref="C209">IF(A209="","",_xlfn.XLOOKUP(A209,Catalogo_BR!$A$2:$A$277,Catalogo_BR!$B$2:$B$277,"",0))</f>
        <v>Nuclear Creature</v>
      </c>
      <c r="D209" s="32"/>
      <c r="E209" s="28" t="str">
        <f t="shared" si="1"/>
        <v>CIB</v>
      </c>
      <c r="F209" s="40" t="s">
        <v>39</v>
      </c>
      <c r="G209" s="41">
        <v>0.0</v>
      </c>
      <c r="H209" s="41">
        <v>3.0</v>
      </c>
      <c r="I209" s="42">
        <v>1985.0</v>
      </c>
      <c r="J209" s="41" t="s">
        <v>75</v>
      </c>
      <c r="K209" s="41" t="s">
        <v>76</v>
      </c>
      <c r="L209" s="41" t="s">
        <v>599</v>
      </c>
      <c r="M209" s="28" t="b">
        <v>1</v>
      </c>
      <c r="N209" s="28" t="b">
        <v>1</v>
      </c>
      <c r="O209" s="28" t="b">
        <v>1</v>
      </c>
      <c r="P209" s="42" t="b">
        <v>1</v>
      </c>
      <c r="Q209" s="43" t="s">
        <v>47</v>
      </c>
      <c r="R209" s="21"/>
      <c r="S209" s="21"/>
      <c r="T209" s="21"/>
      <c r="U209" s="38"/>
      <c r="AA209" s="20"/>
    </row>
    <row r="210" ht="22.5" customHeight="1">
      <c r="A210" s="38" t="s">
        <v>480</v>
      </c>
      <c r="B210" s="32"/>
      <c r="C210" s="32" t="str">
        <f t="array" ref="C210">IF(A210="","",_xlfn.XLOOKUP(A210,Catalogo_BR!$A$2:$A$277,Catalogo_BR!$B$2:$B$277,"",0))</f>
        <v>Sonic The Hedgehog 2</v>
      </c>
      <c r="D210" s="32"/>
      <c r="E210" s="28" t="str">
        <f t="shared" si="1"/>
        <v>CIB</v>
      </c>
      <c r="F210" s="40" t="s">
        <v>39</v>
      </c>
      <c r="G210" s="41">
        <v>0.0</v>
      </c>
      <c r="H210" s="41">
        <v>5.0</v>
      </c>
      <c r="I210" s="42">
        <v>1992.0</v>
      </c>
      <c r="J210" s="41" t="s">
        <v>75</v>
      </c>
      <c r="K210" s="41" t="s">
        <v>76</v>
      </c>
      <c r="L210" s="41" t="s">
        <v>599</v>
      </c>
      <c r="M210" s="28" t="b">
        <v>1</v>
      </c>
      <c r="N210" s="28" t="b">
        <v>1</v>
      </c>
      <c r="O210" s="28" t="b">
        <v>1</v>
      </c>
      <c r="P210" s="42" t="b">
        <v>1</v>
      </c>
      <c r="Q210" s="43" t="s">
        <v>47</v>
      </c>
      <c r="R210" s="21"/>
      <c r="S210" s="21"/>
      <c r="T210" s="21"/>
      <c r="U210" s="38"/>
      <c r="AA210" s="20"/>
    </row>
    <row r="211" ht="22.5" customHeight="1">
      <c r="A211" s="38" t="s">
        <v>527</v>
      </c>
      <c r="B211" s="32"/>
      <c r="C211" s="32" t="str">
        <f t="array" ref="C211">IF(A211="","",_xlfn.XLOOKUP(A211,Catalogo_BR!$A$2:$A$277,Catalogo_BR!$B$2:$B$277,"",0))</f>
        <v>Teddy Boy</v>
      </c>
      <c r="D211" s="32"/>
      <c r="E211" s="28" t="str">
        <f t="shared" si="1"/>
        <v>CIB</v>
      </c>
      <c r="F211" s="40" t="s">
        <v>39</v>
      </c>
      <c r="G211" s="41">
        <v>0.0</v>
      </c>
      <c r="H211" s="41">
        <v>3.0</v>
      </c>
      <c r="I211" s="42">
        <v>1985.0</v>
      </c>
      <c r="J211" s="41" t="s">
        <v>75</v>
      </c>
      <c r="K211" s="41" t="s">
        <v>76</v>
      </c>
      <c r="L211" s="41" t="s">
        <v>599</v>
      </c>
      <c r="M211" s="28" t="b">
        <v>1</v>
      </c>
      <c r="N211" s="28" t="b">
        <v>1</v>
      </c>
      <c r="O211" s="28" t="b">
        <v>1</v>
      </c>
      <c r="P211" s="42" t="b">
        <v>1</v>
      </c>
      <c r="Q211" s="43" t="s">
        <v>47</v>
      </c>
      <c r="R211" s="21"/>
      <c r="S211" s="21"/>
      <c r="T211" s="21"/>
      <c r="U211" s="38"/>
      <c r="AA211" s="20"/>
    </row>
    <row r="212" ht="22.5" customHeight="1">
      <c r="A212" s="38" t="s">
        <v>546</v>
      </c>
      <c r="B212" s="32"/>
      <c r="C212" s="32" t="str">
        <f t="array" ref="C212">IF(A212="","",_xlfn.XLOOKUP(A212,Catalogo_BR!$A$2:$A$277,Catalogo_BR!$B$2:$B$277,"",0))</f>
        <v>The Secret of Shinobi</v>
      </c>
      <c r="D212" s="32"/>
      <c r="E212" s="28" t="str">
        <f t="shared" si="1"/>
        <v>CIB</v>
      </c>
      <c r="F212" s="40" t="s">
        <v>39</v>
      </c>
      <c r="G212" s="41">
        <v>0.0</v>
      </c>
      <c r="H212" s="41">
        <v>3.0</v>
      </c>
      <c r="I212" s="42">
        <v>1991.0</v>
      </c>
      <c r="J212" s="41" t="s">
        <v>75</v>
      </c>
      <c r="K212" s="41" t="s">
        <v>76</v>
      </c>
      <c r="L212" s="41" t="s">
        <v>599</v>
      </c>
      <c r="M212" s="28" t="b">
        <v>1</v>
      </c>
      <c r="N212" s="28" t="b">
        <v>1</v>
      </c>
      <c r="O212" s="28" t="b">
        <v>1</v>
      </c>
      <c r="P212" s="42" t="b">
        <v>1</v>
      </c>
      <c r="Q212" s="43" t="s">
        <v>47</v>
      </c>
      <c r="R212" s="21"/>
      <c r="S212" s="21"/>
      <c r="T212" s="21"/>
      <c r="U212" s="38"/>
      <c r="AA212" s="20"/>
    </row>
    <row r="213" ht="22.5" customHeight="1">
      <c r="A213" s="38" t="s">
        <v>94</v>
      </c>
      <c r="B213" s="32"/>
      <c r="C213" s="32" t="str">
        <f t="array" ref="C213">IF(A213="","",_xlfn.XLOOKUP(A213,Catalogo_BR!$A$2:$A$277,Catalogo_BR!$B$2:$B$277,"",0))</f>
        <v>American Baseball</v>
      </c>
      <c r="D213" s="32"/>
      <c r="E213" s="28" t="str">
        <f t="shared" si="1"/>
        <v>CIB</v>
      </c>
      <c r="F213" s="40" t="s">
        <v>39</v>
      </c>
      <c r="G213" s="41">
        <v>0.0</v>
      </c>
      <c r="H213" s="41">
        <v>3.0</v>
      </c>
      <c r="I213" s="42">
        <v>1989.0</v>
      </c>
      <c r="J213" s="41" t="s">
        <v>75</v>
      </c>
      <c r="K213" s="41" t="s">
        <v>76</v>
      </c>
      <c r="L213" s="41" t="s">
        <v>599</v>
      </c>
      <c r="M213" s="28" t="b">
        <v>1</v>
      </c>
      <c r="N213" s="28" t="b">
        <v>1</v>
      </c>
      <c r="O213" s="28" t="b">
        <v>1</v>
      </c>
      <c r="P213" s="42" t="b">
        <v>1</v>
      </c>
      <c r="Q213" s="43" t="s">
        <v>47</v>
      </c>
      <c r="R213" s="21"/>
      <c r="S213" s="21"/>
      <c r="T213" s="21"/>
      <c r="U213" s="38"/>
      <c r="AA213" s="20"/>
    </row>
    <row r="214" ht="22.5" customHeight="1">
      <c r="A214" s="38" t="s">
        <v>317</v>
      </c>
      <c r="B214" s="32"/>
      <c r="C214" s="32" t="str">
        <f t="array" ref="C214">IF(A214="","",_xlfn.XLOOKUP(A214,Catalogo_BR!$A$2:$A$277,Catalogo_BR!$B$2:$B$277,"",0))</f>
        <v>Indiana Jones e a Última Cruzada</v>
      </c>
      <c r="D214" s="32"/>
      <c r="E214" s="28" t="str">
        <f t="shared" si="1"/>
        <v>CIB</v>
      </c>
      <c r="F214" s="40" t="s">
        <v>39</v>
      </c>
      <c r="G214" s="41">
        <v>0.0</v>
      </c>
      <c r="H214" s="41">
        <v>1.0</v>
      </c>
      <c r="I214" s="42">
        <v>1990.0</v>
      </c>
      <c r="J214" s="41" t="s">
        <v>75</v>
      </c>
      <c r="K214" s="41" t="s">
        <v>76</v>
      </c>
      <c r="L214" s="41" t="s">
        <v>599</v>
      </c>
      <c r="M214" s="28" t="b">
        <v>1</v>
      </c>
      <c r="N214" s="28" t="b">
        <v>1</v>
      </c>
      <c r="O214" s="28" t="b">
        <v>1</v>
      </c>
      <c r="P214" s="42" t="b">
        <v>1</v>
      </c>
      <c r="Q214" s="43" t="s">
        <v>47</v>
      </c>
      <c r="R214" s="21"/>
      <c r="S214" s="21"/>
      <c r="T214" s="21"/>
      <c r="U214" s="38"/>
      <c r="AA214" s="20"/>
    </row>
    <row r="215" ht="22.5" customHeight="1">
      <c r="A215" s="38" t="s">
        <v>459</v>
      </c>
      <c r="B215" s="32"/>
      <c r="C215" s="32" t="str">
        <f t="array" ref="C215">IF(A215="","",_xlfn.XLOOKUP(A215,Catalogo_BR!$A$2:$A$277,Catalogo_BR!$B$2:$B$277,"",0))</f>
        <v>Sega Chess</v>
      </c>
      <c r="D215" s="32"/>
      <c r="E215" s="28" t="str">
        <f t="shared" si="1"/>
        <v>CIB</v>
      </c>
      <c r="F215" s="40" t="s">
        <v>39</v>
      </c>
      <c r="G215" s="41">
        <v>0.0</v>
      </c>
      <c r="H215" s="41">
        <v>3.0</v>
      </c>
      <c r="I215" s="42">
        <v>1991.0</v>
      </c>
      <c r="J215" s="41" t="s">
        <v>75</v>
      </c>
      <c r="K215" s="41" t="s">
        <v>76</v>
      </c>
      <c r="L215" s="41" t="s">
        <v>599</v>
      </c>
      <c r="M215" s="28" t="b">
        <v>1</v>
      </c>
      <c r="N215" s="28" t="b">
        <v>1</v>
      </c>
      <c r="O215" s="28" t="b">
        <v>1</v>
      </c>
      <c r="P215" s="42" t="b">
        <v>1</v>
      </c>
      <c r="Q215" s="43" t="s">
        <v>47</v>
      </c>
      <c r="R215" s="21"/>
      <c r="S215" s="21"/>
      <c r="T215" s="21"/>
      <c r="U215" s="38"/>
      <c r="AA215" s="20"/>
    </row>
    <row r="216" ht="22.5" customHeight="1">
      <c r="A216" s="38" t="s">
        <v>489</v>
      </c>
      <c r="B216" s="32"/>
      <c r="C216" s="32" t="str">
        <f t="array" ref="C216">IF(A216="","",_xlfn.XLOOKUP(A216,Catalogo_BR!$A$2:$A$277,Catalogo_BR!$B$2:$B$277,"",0))</f>
        <v>Spider-Man</v>
      </c>
      <c r="D216" s="32"/>
      <c r="E216" s="28" t="str">
        <f t="shared" si="1"/>
        <v>CIB</v>
      </c>
      <c r="F216" s="40" t="s">
        <v>39</v>
      </c>
      <c r="G216" s="41">
        <v>0.0</v>
      </c>
      <c r="H216" s="41">
        <v>2.0</v>
      </c>
      <c r="I216" s="42">
        <v>1991.0</v>
      </c>
      <c r="J216" s="41" t="s">
        <v>75</v>
      </c>
      <c r="K216" s="41" t="s">
        <v>76</v>
      </c>
      <c r="L216" s="41" t="s">
        <v>599</v>
      </c>
      <c r="M216" s="28" t="b">
        <v>1</v>
      </c>
      <c r="N216" s="28" t="b">
        <v>1</v>
      </c>
      <c r="O216" s="28" t="b">
        <v>1</v>
      </c>
      <c r="P216" s="42" t="b">
        <v>1</v>
      </c>
      <c r="Q216" s="43" t="s">
        <v>47</v>
      </c>
      <c r="R216" s="21"/>
      <c r="S216" s="21"/>
      <c r="T216" s="21"/>
      <c r="U216" s="38"/>
      <c r="AA216" s="20"/>
    </row>
    <row r="217" ht="22.5" customHeight="1">
      <c r="A217" s="61" t="s">
        <v>304</v>
      </c>
      <c r="B217" s="62"/>
      <c r="C217" s="62" t="str">
        <f t="array" ref="C217">IF(A217="","",_xlfn.XLOOKUP(A217,Catalogo_BR!$A$2:$A$277,Catalogo_BR!$B$2:$B$277,"",0))</f>
        <v>Great Voley</v>
      </c>
      <c r="D217" s="62" t="s">
        <v>602</v>
      </c>
      <c r="E217" s="63" t="str">
        <f t="shared" si="1"/>
        <v>CIB</v>
      </c>
      <c r="F217" s="64" t="s">
        <v>39</v>
      </c>
      <c r="G217" s="65">
        <v>0.0</v>
      </c>
      <c r="H217" s="66">
        <v>3.0</v>
      </c>
      <c r="I217" s="67">
        <v>1987.0</v>
      </c>
      <c r="J217" s="68" t="s">
        <v>75</v>
      </c>
      <c r="K217" s="69" t="s">
        <v>76</v>
      </c>
      <c r="L217" s="70" t="s">
        <v>599</v>
      </c>
      <c r="M217" s="71" t="b">
        <v>1</v>
      </c>
      <c r="N217" s="71" t="b">
        <v>1</v>
      </c>
      <c r="O217" s="71" t="b">
        <v>1</v>
      </c>
      <c r="P217" s="67" t="b">
        <v>1</v>
      </c>
      <c r="Q217" s="72" t="s">
        <v>47</v>
      </c>
      <c r="R217" s="73"/>
      <c r="S217" s="73"/>
      <c r="T217" s="73"/>
      <c r="U217" s="61"/>
      <c r="AA217" s="20"/>
    </row>
    <row r="218" ht="22.5" customHeight="1">
      <c r="A218" s="38" t="s">
        <v>531</v>
      </c>
      <c r="B218" s="32"/>
      <c r="C218" s="32" t="str">
        <f t="array" ref="C218">IF(A218="","",_xlfn.XLOOKUP(A218,Catalogo_BR!$A$2:$A$277,Catalogo_BR!$B$2:$B$277,"",0))</f>
        <v>The Flintstones</v>
      </c>
      <c r="D218" s="32"/>
      <c r="E218" s="28" t="str">
        <f t="shared" si="1"/>
        <v>CIB</v>
      </c>
      <c r="F218" s="40" t="s">
        <v>39</v>
      </c>
      <c r="G218" s="41">
        <v>3.0</v>
      </c>
      <c r="H218" s="41">
        <v>2.0</v>
      </c>
      <c r="I218" s="42">
        <v>1991.0</v>
      </c>
      <c r="J218" s="41" t="s">
        <v>75</v>
      </c>
      <c r="K218" s="41" t="s">
        <v>76</v>
      </c>
      <c r="L218" s="41" t="s">
        <v>599</v>
      </c>
      <c r="M218" s="28" t="b">
        <v>1</v>
      </c>
      <c r="N218" s="28" t="b">
        <v>1</v>
      </c>
      <c r="O218" s="28" t="b">
        <v>1</v>
      </c>
      <c r="P218" s="42" t="b">
        <v>1</v>
      </c>
      <c r="Q218" s="43" t="s">
        <v>603</v>
      </c>
      <c r="R218" s="21"/>
      <c r="S218" s="21"/>
      <c r="T218" s="21"/>
      <c r="U218" s="38"/>
      <c r="AA218" s="20"/>
    </row>
    <row r="219" ht="22.5" customHeight="1">
      <c r="A219" s="38" t="s">
        <v>304</v>
      </c>
      <c r="B219" s="32"/>
      <c r="C219" s="32" t="str">
        <f t="array" ref="C219">IF(A219="","",_xlfn.XLOOKUP(A219,Catalogo_BR!$A$2:$A$277,Catalogo_BR!$B$2:$B$277,"",0))</f>
        <v>Great Voley</v>
      </c>
      <c r="D219" s="32" t="s">
        <v>602</v>
      </c>
      <c r="E219" s="28" t="str">
        <f t="shared" si="1"/>
        <v>CIB</v>
      </c>
      <c r="F219" s="40" t="s">
        <v>39</v>
      </c>
      <c r="G219" s="41">
        <v>3.0</v>
      </c>
      <c r="H219" s="41">
        <v>3.0</v>
      </c>
      <c r="I219" s="42">
        <v>1987.0</v>
      </c>
      <c r="J219" s="41" t="s">
        <v>75</v>
      </c>
      <c r="K219" s="41" t="s">
        <v>76</v>
      </c>
      <c r="L219" s="41" t="s">
        <v>599</v>
      </c>
      <c r="M219" s="28" t="b">
        <v>1</v>
      </c>
      <c r="N219" s="28" t="b">
        <v>1</v>
      </c>
      <c r="O219" s="28" t="b">
        <v>1</v>
      </c>
      <c r="P219" s="42" t="b">
        <v>1</v>
      </c>
      <c r="Q219" s="43" t="s">
        <v>47</v>
      </c>
      <c r="R219" s="21"/>
      <c r="S219" s="21"/>
      <c r="T219" s="21"/>
      <c r="U219" s="38"/>
      <c r="AA219" s="20"/>
    </row>
    <row r="220" ht="22.5" customHeight="1">
      <c r="A220" s="38" t="s">
        <v>555</v>
      </c>
      <c r="B220" s="32"/>
      <c r="C220" s="32" t="str">
        <f t="array" ref="C220">IF(A220="","",_xlfn.XLOOKUP(A220,Catalogo_BR!$A$2:$A$277,Catalogo_BR!$B$2:$B$277,"",0))</f>
        <v>Thunder Blade</v>
      </c>
      <c r="D220" s="32"/>
      <c r="E220" s="28" t="str">
        <f t="shared" si="1"/>
        <v>Incompleto</v>
      </c>
      <c r="F220" s="40" t="s">
        <v>53</v>
      </c>
      <c r="G220" s="41">
        <v>3.0</v>
      </c>
      <c r="H220" s="41">
        <v>3.0</v>
      </c>
      <c r="I220" s="42">
        <v>1988.0</v>
      </c>
      <c r="J220" s="41" t="s">
        <v>75</v>
      </c>
      <c r="K220" s="41" t="s">
        <v>76</v>
      </c>
      <c r="L220" s="41" t="s">
        <v>599</v>
      </c>
      <c r="M220" s="28" t="b">
        <v>1</v>
      </c>
      <c r="N220" s="28" t="b">
        <v>0</v>
      </c>
      <c r="O220" s="28" t="b">
        <v>1</v>
      </c>
      <c r="P220" s="42" t="b">
        <v>0</v>
      </c>
      <c r="Q220" s="43" t="s">
        <v>603</v>
      </c>
      <c r="R220" s="21"/>
      <c r="S220" s="21"/>
      <c r="T220" s="21"/>
      <c r="U220" s="38"/>
      <c r="AA220" s="20"/>
    </row>
    <row r="221" ht="22.5" customHeight="1">
      <c r="A221" s="38" t="s">
        <v>475</v>
      </c>
      <c r="B221" s="32"/>
      <c r="C221" s="32" t="str">
        <f t="array" ref="C221">IF(A221="","",_xlfn.XLOOKUP(A221,Catalogo_BR!$A$2:$A$277,Catalogo_BR!$B$2:$B$277,"",0))</f>
        <v>Slap Shot</v>
      </c>
      <c r="D221" s="32"/>
      <c r="E221" s="28" t="str">
        <f t="shared" si="1"/>
        <v>Loose</v>
      </c>
      <c r="F221" s="40" t="s">
        <v>140</v>
      </c>
      <c r="G221" s="41">
        <v>2.0</v>
      </c>
      <c r="H221" s="41">
        <v>2.0</v>
      </c>
      <c r="I221" s="42">
        <v>1990.0</v>
      </c>
      <c r="J221" s="41" t="s">
        <v>46</v>
      </c>
      <c r="K221" s="41" t="s">
        <v>76</v>
      </c>
      <c r="L221" s="41" t="s">
        <v>599</v>
      </c>
      <c r="M221" s="28" t="b">
        <v>1</v>
      </c>
      <c r="N221" s="28" t="b">
        <v>0</v>
      </c>
      <c r="O221" s="28" t="b">
        <v>0</v>
      </c>
      <c r="P221" s="42" t="b">
        <v>0</v>
      </c>
      <c r="Q221" s="43" t="s">
        <v>47</v>
      </c>
      <c r="R221" s="21"/>
      <c r="S221" s="21"/>
      <c r="T221" s="21"/>
      <c r="U221" s="38"/>
      <c r="AA221" s="20"/>
    </row>
    <row r="222" ht="22.5" customHeight="1">
      <c r="A222" s="38" t="s">
        <v>51</v>
      </c>
      <c r="B222" s="32"/>
      <c r="C222" s="32" t="str">
        <f t="array" ref="C222">IF(A222="","",_xlfn.XLOOKUP(A222,Catalogo_BR!$A$2:$A$277,Catalogo_BR!$B$2:$B$277,"",0))</f>
        <v>After Burner</v>
      </c>
      <c r="D222" s="32"/>
      <c r="E222" s="28" t="str">
        <f t="shared" si="1"/>
        <v>Loose</v>
      </c>
      <c r="F222" s="40" t="s">
        <v>53</v>
      </c>
      <c r="G222" s="41">
        <v>3.0</v>
      </c>
      <c r="H222" s="41">
        <v>3.0</v>
      </c>
      <c r="I222" s="42">
        <v>1987.0</v>
      </c>
      <c r="J222" s="41" t="s">
        <v>75</v>
      </c>
      <c r="K222" s="41" t="s">
        <v>76</v>
      </c>
      <c r="L222" s="41" t="s">
        <v>599</v>
      </c>
      <c r="M222" s="28" t="b">
        <v>1</v>
      </c>
      <c r="N222" s="28" t="b">
        <v>0</v>
      </c>
      <c r="O222" s="28" t="b">
        <v>0</v>
      </c>
      <c r="P222" s="42" t="b">
        <v>0</v>
      </c>
      <c r="Q222" s="43" t="s">
        <v>47</v>
      </c>
      <c r="R222" s="21"/>
      <c r="S222" s="21"/>
      <c r="T222" s="21"/>
      <c r="U222" s="38" t="s">
        <v>290</v>
      </c>
      <c r="AA222" s="20"/>
    </row>
    <row r="223" ht="22.5" customHeight="1">
      <c r="A223" s="38" t="s">
        <v>87</v>
      </c>
      <c r="B223" s="32"/>
      <c r="C223" s="32" t="str">
        <f t="array" ref="C223">IF(A223="","",_xlfn.XLOOKUP(A223,Catalogo_BR!$A$2:$A$277,Catalogo_BR!$B$2:$B$277,"",0))</f>
        <v>Altered Beast</v>
      </c>
      <c r="D223" s="32"/>
      <c r="E223" s="28" t="str">
        <f t="shared" si="1"/>
        <v>Loose</v>
      </c>
      <c r="F223" s="40" t="s">
        <v>89</v>
      </c>
      <c r="G223" s="41">
        <v>3.0</v>
      </c>
      <c r="H223" s="41">
        <v>3.0</v>
      </c>
      <c r="I223" s="42">
        <v>1989.0</v>
      </c>
      <c r="J223" s="41" t="s">
        <v>75</v>
      </c>
      <c r="K223" s="41" t="s">
        <v>76</v>
      </c>
      <c r="L223" s="41" t="s">
        <v>599</v>
      </c>
      <c r="M223" s="28" t="b">
        <v>1</v>
      </c>
      <c r="N223" s="28" t="b">
        <v>0</v>
      </c>
      <c r="O223" s="28" t="b">
        <v>0</v>
      </c>
      <c r="P223" s="42" t="b">
        <v>0</v>
      </c>
      <c r="Q223" s="43" t="s">
        <v>47</v>
      </c>
      <c r="R223" s="21"/>
      <c r="S223" s="21"/>
      <c r="T223" s="21"/>
      <c r="U223" s="38" t="s">
        <v>290</v>
      </c>
      <c r="AA223" s="20"/>
    </row>
    <row r="224" ht="22.5" customHeight="1">
      <c r="A224" s="38" t="s">
        <v>91</v>
      </c>
      <c r="B224" s="32"/>
      <c r="C224" s="32" t="str">
        <f t="array" ref="C224">IF(A224="","",_xlfn.XLOOKUP(A224,Catalogo_BR!$A$2:$A$277,Catalogo_BR!$B$2:$B$277,"",0))</f>
        <v>Altered Beast</v>
      </c>
      <c r="D224" s="32"/>
      <c r="E224" s="28" t="str">
        <f t="shared" si="1"/>
        <v>Loose</v>
      </c>
      <c r="F224" s="40" t="s">
        <v>53</v>
      </c>
      <c r="G224" s="41">
        <v>3.0</v>
      </c>
      <c r="H224" s="41">
        <v>3.0</v>
      </c>
      <c r="I224" s="42">
        <v>1989.0</v>
      </c>
      <c r="J224" s="41" t="s">
        <v>75</v>
      </c>
      <c r="K224" s="41" t="s">
        <v>76</v>
      </c>
      <c r="L224" s="41" t="s">
        <v>599</v>
      </c>
      <c r="M224" s="28" t="b">
        <v>1</v>
      </c>
      <c r="N224" s="28" t="b">
        <v>0</v>
      </c>
      <c r="O224" s="28" t="b">
        <v>0</v>
      </c>
      <c r="P224" s="42" t="b">
        <v>0</v>
      </c>
      <c r="Q224" s="43" t="s">
        <v>47</v>
      </c>
      <c r="R224" s="21"/>
      <c r="S224" s="21"/>
      <c r="T224" s="21"/>
      <c r="U224" s="38"/>
      <c r="AA224" s="20"/>
    </row>
    <row r="225" ht="22.5" customHeight="1">
      <c r="A225" s="38" t="s">
        <v>117</v>
      </c>
      <c r="B225" s="32"/>
      <c r="C225" s="32" t="str">
        <f t="array" ref="C225">IF(A225="","",_xlfn.XLOOKUP(A225,Catalogo_BR!$A$2:$A$277,Catalogo_BR!$B$2:$B$277,"",0))</f>
        <v>Astro Warrior</v>
      </c>
      <c r="D225" s="32"/>
      <c r="E225" s="28" t="str">
        <f t="shared" si="1"/>
        <v>Loose</v>
      </c>
      <c r="F225" s="40" t="s">
        <v>53</v>
      </c>
      <c r="G225" s="41">
        <v>3.0</v>
      </c>
      <c r="H225" s="41">
        <v>3.0</v>
      </c>
      <c r="I225" s="42">
        <v>1986.0</v>
      </c>
      <c r="J225" s="41" t="s">
        <v>75</v>
      </c>
      <c r="K225" s="41" t="s">
        <v>76</v>
      </c>
      <c r="L225" s="41" t="s">
        <v>599</v>
      </c>
      <c r="M225" s="28" t="b">
        <v>1</v>
      </c>
      <c r="N225" s="28" t="b">
        <v>0</v>
      </c>
      <c r="O225" s="28" t="b">
        <v>0</v>
      </c>
      <c r="P225" s="42" t="b">
        <v>0</v>
      </c>
      <c r="Q225" s="43" t="s">
        <v>47</v>
      </c>
      <c r="R225" s="21"/>
      <c r="S225" s="21"/>
      <c r="T225" s="21"/>
      <c r="U225" s="38" t="s">
        <v>290</v>
      </c>
      <c r="AA225" s="20"/>
    </row>
    <row r="226" ht="22.5" customHeight="1">
      <c r="A226" s="38" t="s">
        <v>125</v>
      </c>
      <c r="B226" s="32"/>
      <c r="C226" s="32" t="str">
        <f t="array" ref="C226">IF(A226="","",_xlfn.XLOOKUP(A226,Catalogo_BR!$A$2:$A$277,Catalogo_BR!$B$2:$B$277,"",0))</f>
        <v>Aztec Adventure</v>
      </c>
      <c r="D226" s="32"/>
      <c r="E226" s="28" t="str">
        <f t="shared" si="1"/>
        <v>Loose</v>
      </c>
      <c r="F226" s="40" t="s">
        <v>53</v>
      </c>
      <c r="G226" s="41">
        <v>3.0</v>
      </c>
      <c r="H226" s="41">
        <v>3.0</v>
      </c>
      <c r="I226" s="42">
        <v>1987.0</v>
      </c>
      <c r="J226" s="41" t="s">
        <v>75</v>
      </c>
      <c r="K226" s="41" t="s">
        <v>76</v>
      </c>
      <c r="L226" s="41" t="s">
        <v>599</v>
      </c>
      <c r="M226" s="28" t="b">
        <v>1</v>
      </c>
      <c r="N226" s="28" t="b">
        <v>0</v>
      </c>
      <c r="O226" s="28" t="b">
        <v>0</v>
      </c>
      <c r="P226" s="42" t="b">
        <v>0</v>
      </c>
      <c r="Q226" s="43" t="s">
        <v>47</v>
      </c>
      <c r="R226" s="21"/>
      <c r="S226" s="21"/>
      <c r="T226" s="21"/>
      <c r="U226" s="38"/>
      <c r="AA226" s="20"/>
    </row>
    <row r="227" ht="22.5" customHeight="1">
      <c r="A227" s="38" t="s">
        <v>145</v>
      </c>
      <c r="B227" s="32"/>
      <c r="C227" s="32" t="str">
        <f t="array" ref="C227">IF(A227="","",_xlfn.XLOOKUP(A227,Catalogo_BR!$A$2:$A$277,Catalogo_BR!$B$2:$B$277,"",0))</f>
        <v>Black Belt</v>
      </c>
      <c r="D227" s="32"/>
      <c r="E227" s="28" t="str">
        <f t="shared" si="1"/>
        <v>Loose</v>
      </c>
      <c r="F227" s="40" t="s">
        <v>53</v>
      </c>
      <c r="G227" s="41">
        <v>3.0</v>
      </c>
      <c r="H227" s="41">
        <v>4.0</v>
      </c>
      <c r="I227" s="42">
        <v>1986.0</v>
      </c>
      <c r="J227" s="41" t="s">
        <v>75</v>
      </c>
      <c r="K227" s="41" t="s">
        <v>76</v>
      </c>
      <c r="L227" s="41" t="s">
        <v>599</v>
      </c>
      <c r="M227" s="28" t="b">
        <v>1</v>
      </c>
      <c r="N227" s="28" t="b">
        <v>0</v>
      </c>
      <c r="O227" s="28" t="b">
        <v>0</v>
      </c>
      <c r="P227" s="42" t="b">
        <v>0</v>
      </c>
      <c r="Q227" s="43" t="s">
        <v>47</v>
      </c>
      <c r="R227" s="21"/>
      <c r="S227" s="21"/>
      <c r="T227" s="21"/>
      <c r="U227" s="38"/>
      <c r="AA227" s="20"/>
    </row>
    <row r="228" ht="22.5" customHeight="1">
      <c r="A228" s="38" t="s">
        <v>170</v>
      </c>
      <c r="B228" s="32"/>
      <c r="C228" s="32" t="str">
        <f t="array" ref="C228">IF(A228="","",_xlfn.XLOOKUP(A228,Catalogo_BR!$A$2:$A$277,Catalogo_BR!$B$2:$B$277,"",0))</f>
        <v>Choplifter</v>
      </c>
      <c r="D228" s="32"/>
      <c r="E228" s="28" t="str">
        <f t="shared" si="1"/>
        <v>Loose</v>
      </c>
      <c r="F228" s="40" t="s">
        <v>53</v>
      </c>
      <c r="G228" s="41">
        <v>3.0</v>
      </c>
      <c r="H228" s="41">
        <v>3.0</v>
      </c>
      <c r="I228" s="42">
        <v>1986.0</v>
      </c>
      <c r="J228" s="41" t="s">
        <v>46</v>
      </c>
      <c r="K228" s="41" t="s">
        <v>76</v>
      </c>
      <c r="L228" s="41" t="s">
        <v>599</v>
      </c>
      <c r="M228" s="28" t="b">
        <v>1</v>
      </c>
      <c r="N228" s="28" t="b">
        <v>0</v>
      </c>
      <c r="O228" s="28" t="b">
        <v>0</v>
      </c>
      <c r="P228" s="42" t="b">
        <v>0</v>
      </c>
      <c r="Q228" s="43" t="s">
        <v>47</v>
      </c>
      <c r="R228" s="21"/>
      <c r="S228" s="21"/>
      <c r="T228" s="21"/>
      <c r="U228" s="38"/>
      <c r="AA228" s="20"/>
    </row>
    <row r="229" ht="22.5" customHeight="1">
      <c r="A229" s="38" t="s">
        <v>188</v>
      </c>
      <c r="B229" s="32"/>
      <c r="C229" s="32" t="str">
        <f t="array" ref="C229">IF(A229="","",_xlfn.XLOOKUP(A229,Catalogo_BR!$A$2:$A$277,Catalogo_BR!$B$2:$B$277,"",0))</f>
        <v>Dead Angle</v>
      </c>
      <c r="D229" s="32"/>
      <c r="E229" s="28" t="str">
        <f t="shared" si="1"/>
        <v>Loose</v>
      </c>
      <c r="F229" s="40" t="s">
        <v>53</v>
      </c>
      <c r="G229" s="41">
        <v>3.0</v>
      </c>
      <c r="H229" s="41">
        <v>3.0</v>
      </c>
      <c r="I229" s="42">
        <v>1989.0</v>
      </c>
      <c r="J229" s="41" t="s">
        <v>75</v>
      </c>
      <c r="K229" s="41" t="s">
        <v>76</v>
      </c>
      <c r="L229" s="41" t="s">
        <v>599</v>
      </c>
      <c r="M229" s="28" t="b">
        <v>1</v>
      </c>
      <c r="N229" s="28" t="b">
        <v>0</v>
      </c>
      <c r="O229" s="28" t="b">
        <v>0</v>
      </c>
      <c r="P229" s="42" t="b">
        <v>0</v>
      </c>
      <c r="Q229" s="43" t="s">
        <v>47</v>
      </c>
      <c r="R229" s="21"/>
      <c r="S229" s="21"/>
      <c r="T229" s="21"/>
      <c r="U229" s="38"/>
      <c r="AA229" s="20"/>
    </row>
    <row r="230" ht="22.5" customHeight="1">
      <c r="A230" s="38" t="s">
        <v>287</v>
      </c>
      <c r="B230" s="32"/>
      <c r="C230" s="32" t="str">
        <f t="array" ref="C230">IF(A230="","",_xlfn.XLOOKUP(A230,Catalogo_BR!$A$2:$A$277,Catalogo_BR!$B$2:$B$277,"",0))</f>
        <v>Golden Axe</v>
      </c>
      <c r="D230" s="32"/>
      <c r="E230" s="28" t="str">
        <f t="shared" si="1"/>
        <v>Loose</v>
      </c>
      <c r="F230" s="40" t="s">
        <v>53</v>
      </c>
      <c r="G230" s="41">
        <v>3.0</v>
      </c>
      <c r="H230" s="41">
        <v>4.0</v>
      </c>
      <c r="I230" s="42">
        <v>1989.0</v>
      </c>
      <c r="J230" s="41" t="s">
        <v>46</v>
      </c>
      <c r="K230" s="41" t="s">
        <v>76</v>
      </c>
      <c r="L230" s="41" t="s">
        <v>599</v>
      </c>
      <c r="M230" s="28" t="b">
        <v>1</v>
      </c>
      <c r="N230" s="28" t="b">
        <v>0</v>
      </c>
      <c r="O230" s="28" t="b">
        <v>0</v>
      </c>
      <c r="P230" s="42" t="b">
        <v>0</v>
      </c>
      <c r="Q230" s="43" t="s">
        <v>47</v>
      </c>
      <c r="R230" s="21"/>
      <c r="S230" s="21"/>
      <c r="T230" s="21"/>
      <c r="U230" s="38" t="s">
        <v>290</v>
      </c>
      <c r="AA230" s="20"/>
    </row>
    <row r="231" ht="22.5" customHeight="1">
      <c r="A231" s="38" t="s">
        <v>302</v>
      </c>
      <c r="B231" s="32"/>
      <c r="C231" s="32" t="str">
        <f t="array" ref="C231">IF(A231="","",_xlfn.XLOOKUP(A231,Catalogo_BR!$A$2:$A$277,Catalogo_BR!$B$2:$B$277,"",0))</f>
        <v>Great Voley</v>
      </c>
      <c r="D231" s="32"/>
      <c r="E231" s="28" t="str">
        <f t="shared" si="1"/>
        <v>Loose</v>
      </c>
      <c r="F231" s="40" t="s">
        <v>53</v>
      </c>
      <c r="G231" s="41">
        <v>3.0</v>
      </c>
      <c r="H231" s="41">
        <v>4.0</v>
      </c>
      <c r="I231" s="42">
        <v>1987.0</v>
      </c>
      <c r="J231" s="41" t="s">
        <v>75</v>
      </c>
      <c r="K231" s="41" t="s">
        <v>76</v>
      </c>
      <c r="L231" s="41" t="s">
        <v>599</v>
      </c>
      <c r="M231" s="28" t="b">
        <v>1</v>
      </c>
      <c r="N231" s="28" t="b">
        <v>0</v>
      </c>
      <c r="O231" s="28" t="b">
        <v>0</v>
      </c>
      <c r="P231" s="42" t="b">
        <v>0</v>
      </c>
      <c r="Q231" s="43" t="s">
        <v>47</v>
      </c>
      <c r="R231" s="21"/>
      <c r="S231" s="21"/>
      <c r="T231" s="21"/>
      <c r="U231" s="38" t="s">
        <v>290</v>
      </c>
      <c r="AA231" s="20"/>
    </row>
    <row r="232" ht="22.5" customHeight="1">
      <c r="A232" s="38" t="s">
        <v>351</v>
      </c>
      <c r="B232" s="32"/>
      <c r="C232" s="32" t="str">
        <f t="array" ref="C232">IF(A232="","",_xlfn.XLOOKUP(A232,Catalogo_BR!$A$2:$A$277,Catalogo_BR!$B$2:$B$277,"",0))</f>
        <v>Marksman Shooting &amp; Trap Shooting</v>
      </c>
      <c r="D232" s="32"/>
      <c r="E232" s="28" t="str">
        <f t="shared" si="1"/>
        <v>Loose</v>
      </c>
      <c r="F232" s="40" t="s">
        <v>53</v>
      </c>
      <c r="G232" s="41">
        <v>3.0</v>
      </c>
      <c r="H232" s="41">
        <v>2.0</v>
      </c>
      <c r="I232" s="42">
        <v>1986.0</v>
      </c>
      <c r="J232" s="41" t="s">
        <v>75</v>
      </c>
      <c r="K232" s="41" t="s">
        <v>76</v>
      </c>
      <c r="L232" s="41" t="s">
        <v>599</v>
      </c>
      <c r="M232" s="28" t="b">
        <v>1</v>
      </c>
      <c r="N232" s="28" t="b">
        <v>0</v>
      </c>
      <c r="O232" s="28" t="b">
        <v>0</v>
      </c>
      <c r="P232" s="42" t="b">
        <v>0</v>
      </c>
      <c r="Q232" s="43" t="s">
        <v>47</v>
      </c>
      <c r="R232" s="21"/>
      <c r="S232" s="21"/>
      <c r="T232" s="21"/>
      <c r="U232" s="38"/>
      <c r="AA232" s="20"/>
    </row>
    <row r="233" ht="22.5" customHeight="1">
      <c r="A233" s="38" t="s">
        <v>357</v>
      </c>
      <c r="B233" s="32"/>
      <c r="C233" s="32" t="str">
        <f t="array" ref="C233">IF(A233="","",_xlfn.XLOOKUP(A233,Catalogo_BR!$A$2:$A$277,Catalogo_BR!$B$2:$B$277,"",0))</f>
        <v>Maze Hunter 3D</v>
      </c>
      <c r="D233" s="32"/>
      <c r="E233" s="28" t="str">
        <f t="shared" si="1"/>
        <v>Loose</v>
      </c>
      <c r="F233" s="40" t="s">
        <v>53</v>
      </c>
      <c r="G233" s="41">
        <v>3.0</v>
      </c>
      <c r="H233" s="41">
        <v>2.0</v>
      </c>
      <c r="I233" s="42">
        <v>1988.0</v>
      </c>
      <c r="J233" s="41" t="s">
        <v>75</v>
      </c>
      <c r="K233" s="41" t="s">
        <v>76</v>
      </c>
      <c r="L233" s="41" t="s">
        <v>599</v>
      </c>
      <c r="M233" s="28" t="b">
        <v>1</v>
      </c>
      <c r="N233" s="28" t="b">
        <v>0</v>
      </c>
      <c r="O233" s="28" t="b">
        <v>0</v>
      </c>
      <c r="P233" s="42" t="b">
        <v>0</v>
      </c>
      <c r="Q233" s="43" t="s">
        <v>47</v>
      </c>
      <c r="R233" s="21"/>
      <c r="S233" s="21"/>
      <c r="T233" s="21"/>
      <c r="U233" s="38"/>
      <c r="AA233" s="20"/>
    </row>
    <row r="234" ht="22.5" customHeight="1">
      <c r="A234" s="38" t="s">
        <v>392</v>
      </c>
      <c r="B234" s="32"/>
      <c r="C234" s="32" t="str">
        <f t="array" ref="C234">IF(A234="","",_xlfn.XLOOKUP(A234,Catalogo_BR!$A$2:$A$277,Catalogo_BR!$B$2:$B$277,"",0))</f>
        <v>Out Run</v>
      </c>
      <c r="D234" s="32"/>
      <c r="E234" s="28" t="str">
        <f t="shared" si="1"/>
        <v>Loose</v>
      </c>
      <c r="F234" s="40" t="s">
        <v>53</v>
      </c>
      <c r="G234" s="41">
        <v>3.0</v>
      </c>
      <c r="H234" s="41">
        <v>4.0</v>
      </c>
      <c r="I234" s="42">
        <v>1987.0</v>
      </c>
      <c r="J234" s="41" t="s">
        <v>75</v>
      </c>
      <c r="K234" s="41" t="s">
        <v>76</v>
      </c>
      <c r="L234" s="41" t="s">
        <v>599</v>
      </c>
      <c r="M234" s="28" t="b">
        <v>1</v>
      </c>
      <c r="N234" s="28" t="b">
        <v>0</v>
      </c>
      <c r="O234" s="28" t="b">
        <v>0</v>
      </c>
      <c r="P234" s="42" t="b">
        <v>0</v>
      </c>
      <c r="Q234" s="43" t="s">
        <v>47</v>
      </c>
      <c r="R234" s="21"/>
      <c r="S234" s="21"/>
      <c r="T234" s="21"/>
      <c r="U234" s="38"/>
      <c r="AA234" s="20"/>
    </row>
    <row r="235" ht="22.5" customHeight="1">
      <c r="A235" s="38" t="s">
        <v>398</v>
      </c>
      <c r="B235" s="32"/>
      <c r="C235" s="32" t="str">
        <f t="array" ref="C235">IF(A235="","",_xlfn.XLOOKUP(A235,Catalogo_BR!$A$2:$A$277,Catalogo_BR!$B$2:$B$277,"",0))</f>
        <v>Paper Boy</v>
      </c>
      <c r="D235" s="32"/>
      <c r="E235" s="28" t="str">
        <f t="shared" si="1"/>
        <v>Loose</v>
      </c>
      <c r="F235" s="40" t="s">
        <v>53</v>
      </c>
      <c r="G235" s="41">
        <v>3.0</v>
      </c>
      <c r="H235" s="41">
        <v>3.0</v>
      </c>
      <c r="I235" s="42">
        <v>1990.0</v>
      </c>
      <c r="J235" s="41" t="s">
        <v>75</v>
      </c>
      <c r="K235" s="41" t="s">
        <v>76</v>
      </c>
      <c r="L235" s="41" t="s">
        <v>599</v>
      </c>
      <c r="M235" s="28" t="b">
        <v>1</v>
      </c>
      <c r="N235" s="28" t="b">
        <v>0</v>
      </c>
      <c r="O235" s="28" t="b">
        <v>0</v>
      </c>
      <c r="P235" s="42" t="b">
        <v>0</v>
      </c>
      <c r="Q235" s="43" t="s">
        <v>47</v>
      </c>
      <c r="R235" s="21"/>
      <c r="S235" s="21"/>
      <c r="T235" s="21"/>
      <c r="U235" s="38" t="s">
        <v>290</v>
      </c>
      <c r="AA235" s="20"/>
    </row>
    <row r="236" ht="22.5" customHeight="1">
      <c r="A236" s="38" t="s">
        <v>406</v>
      </c>
      <c r="B236" s="32"/>
      <c r="C236" s="32" t="str">
        <f t="array" ref="C236">IF(A236="","",_xlfn.XLOOKUP(A236,Catalogo_BR!$A$2:$A$277,Catalogo_BR!$B$2:$B$277,"",0))</f>
        <v>Poseidon Wars 3D</v>
      </c>
      <c r="D236" s="32"/>
      <c r="E236" s="28" t="str">
        <f t="shared" si="1"/>
        <v>Loose</v>
      </c>
      <c r="F236" s="40" t="s">
        <v>53</v>
      </c>
      <c r="G236" s="41">
        <v>3.0</v>
      </c>
      <c r="H236" s="41">
        <v>2.0</v>
      </c>
      <c r="I236" s="42">
        <v>1989.0</v>
      </c>
      <c r="J236" s="41" t="s">
        <v>75</v>
      </c>
      <c r="K236" s="41" t="s">
        <v>76</v>
      </c>
      <c r="L236" s="41" t="s">
        <v>599</v>
      </c>
      <c r="M236" s="28" t="b">
        <v>1</v>
      </c>
      <c r="N236" s="28" t="b">
        <v>0</v>
      </c>
      <c r="O236" s="28" t="b">
        <v>0</v>
      </c>
      <c r="P236" s="42" t="b">
        <v>0</v>
      </c>
      <c r="Q236" s="43" t="s">
        <v>47</v>
      </c>
      <c r="R236" s="21"/>
      <c r="S236" s="21"/>
      <c r="T236" s="21"/>
      <c r="U236" s="38"/>
      <c r="AA236" s="20"/>
    </row>
    <row r="237" ht="22.5" customHeight="1">
      <c r="A237" s="38" t="s">
        <v>415</v>
      </c>
      <c r="B237" s="32"/>
      <c r="C237" s="32" t="str">
        <f t="array" ref="C237">IF(A237="","",_xlfn.XLOOKUP(A237,Catalogo_BR!$A$2:$A$277,Catalogo_BR!$B$2:$B$277,"",0))</f>
        <v>Pro Wrestling</v>
      </c>
      <c r="D237" s="32"/>
      <c r="E237" s="28" t="str">
        <f t="shared" si="1"/>
        <v>Loose</v>
      </c>
      <c r="F237" s="40" t="s">
        <v>53</v>
      </c>
      <c r="G237" s="41">
        <v>3.0</v>
      </c>
      <c r="H237" s="41">
        <v>3.0</v>
      </c>
      <c r="I237" s="42">
        <v>1986.0</v>
      </c>
      <c r="J237" s="41" t="s">
        <v>46</v>
      </c>
      <c r="K237" s="41" t="s">
        <v>76</v>
      </c>
      <c r="L237" s="41" t="s">
        <v>599</v>
      </c>
      <c r="M237" s="28" t="b">
        <v>1</v>
      </c>
      <c r="N237" s="28" t="b">
        <v>0</v>
      </c>
      <c r="O237" s="28" t="b">
        <v>0</v>
      </c>
      <c r="P237" s="42" t="b">
        <v>0</v>
      </c>
      <c r="Q237" s="43" t="s">
        <v>47</v>
      </c>
      <c r="R237" s="21"/>
      <c r="S237" s="21"/>
      <c r="T237" s="21"/>
      <c r="U237" s="38"/>
      <c r="AA237" s="20"/>
    </row>
    <row r="238" ht="22.5" customHeight="1">
      <c r="A238" s="38" t="s">
        <v>426</v>
      </c>
      <c r="B238" s="32"/>
      <c r="C238" s="32" t="str">
        <f t="array" ref="C238">IF(A238="","",_xlfn.XLOOKUP(A238,Catalogo_BR!$A$2:$A$277,Catalogo_BR!$B$2:$B$277,"",0))</f>
        <v>R.C. Grand Prix</v>
      </c>
      <c r="D238" s="32"/>
      <c r="E238" s="28" t="str">
        <f t="shared" si="1"/>
        <v>Loose</v>
      </c>
      <c r="F238" s="40" t="s">
        <v>53</v>
      </c>
      <c r="G238" s="41">
        <v>3.0</v>
      </c>
      <c r="H238" s="41">
        <v>3.0</v>
      </c>
      <c r="I238" s="42">
        <v>1990.0</v>
      </c>
      <c r="J238" s="41" t="s">
        <v>75</v>
      </c>
      <c r="K238" s="41" t="s">
        <v>76</v>
      </c>
      <c r="L238" s="41" t="s">
        <v>599</v>
      </c>
      <c r="M238" s="28" t="b">
        <v>1</v>
      </c>
      <c r="N238" s="28" t="b">
        <v>0</v>
      </c>
      <c r="O238" s="28" t="b">
        <v>0</v>
      </c>
      <c r="P238" s="42" t="b">
        <v>0</v>
      </c>
      <c r="Q238" s="43" t="s">
        <v>47</v>
      </c>
      <c r="R238" s="21"/>
      <c r="S238" s="21"/>
      <c r="T238" s="21"/>
      <c r="U238" s="38" t="s">
        <v>290</v>
      </c>
      <c r="AA238" s="20"/>
    </row>
    <row r="239" ht="22.5" customHeight="1">
      <c r="A239" s="38" t="s">
        <v>447</v>
      </c>
      <c r="B239" s="32"/>
      <c r="C239" s="32" t="str">
        <f t="array" ref="C239">IF(A239="","",_xlfn.XLOOKUP(A239,Catalogo_BR!$A$2:$A$277,Catalogo_BR!$B$2:$B$277,"",0))</f>
        <v>Rocky</v>
      </c>
      <c r="D239" s="32"/>
      <c r="E239" s="28" t="str">
        <f t="shared" si="1"/>
        <v>Loose</v>
      </c>
      <c r="F239" s="40" t="s">
        <v>53</v>
      </c>
      <c r="G239" s="41">
        <v>3.0</v>
      </c>
      <c r="H239" s="41">
        <v>3.0</v>
      </c>
      <c r="I239" s="42">
        <v>1987.0</v>
      </c>
      <c r="J239" s="41" t="s">
        <v>75</v>
      </c>
      <c r="K239" s="41" t="s">
        <v>76</v>
      </c>
      <c r="L239" s="41" t="s">
        <v>599</v>
      </c>
      <c r="M239" s="28" t="b">
        <v>1</v>
      </c>
      <c r="N239" s="28" t="b">
        <v>0</v>
      </c>
      <c r="O239" s="28" t="b">
        <v>0</v>
      </c>
      <c r="P239" s="42" t="b">
        <v>0</v>
      </c>
      <c r="Q239" s="43" t="s">
        <v>47</v>
      </c>
      <c r="R239" s="21"/>
      <c r="S239" s="21"/>
      <c r="T239" s="21"/>
      <c r="U239" s="38"/>
      <c r="AA239" s="20"/>
    </row>
    <row r="240" ht="22.5" customHeight="1">
      <c r="A240" s="38" t="s">
        <v>464</v>
      </c>
      <c r="B240" s="32"/>
      <c r="C240" s="32" t="str">
        <f t="array" ref="C240">IF(A240="","",_xlfn.XLOOKUP(A240,Catalogo_BR!$A$2:$A$277,Catalogo_BR!$B$2:$B$277,"",0))</f>
        <v>Shapes and Columns</v>
      </c>
      <c r="D240" s="32"/>
      <c r="E240" s="28" t="str">
        <f t="shared" si="1"/>
        <v>Loose</v>
      </c>
      <c r="F240" s="40" t="s">
        <v>53</v>
      </c>
      <c r="G240" s="41">
        <v>3.0</v>
      </c>
      <c r="H240" s="41">
        <v>3.0</v>
      </c>
      <c r="I240" s="42">
        <v>1990.0</v>
      </c>
      <c r="J240" s="41" t="s">
        <v>75</v>
      </c>
      <c r="K240" s="41" t="s">
        <v>76</v>
      </c>
      <c r="L240" s="41" t="s">
        <v>599</v>
      </c>
      <c r="M240" s="28" t="b">
        <v>1</v>
      </c>
      <c r="N240" s="28" t="b">
        <v>0</v>
      </c>
      <c r="O240" s="28" t="b">
        <v>0</v>
      </c>
      <c r="P240" s="42" t="b">
        <v>0</v>
      </c>
      <c r="Q240" s="43" t="s">
        <v>47</v>
      </c>
      <c r="R240" s="21"/>
      <c r="S240" s="21"/>
      <c r="T240" s="21"/>
      <c r="U240" s="38" t="s">
        <v>290</v>
      </c>
      <c r="AA240" s="20"/>
    </row>
    <row r="241" ht="22.5" customHeight="1">
      <c r="A241" s="38" t="s">
        <v>486</v>
      </c>
      <c r="B241" s="32"/>
      <c r="C241" s="32" t="str">
        <f t="array" ref="C241">IF(A241="","",_xlfn.XLOOKUP(A241,Catalogo_BR!$A$2:$A$277,Catalogo_BR!$B$2:$B$277,"",0))</f>
        <v>Space Harrier 3D</v>
      </c>
      <c r="D241" s="32"/>
      <c r="E241" s="28" t="str">
        <f t="shared" si="1"/>
        <v>Loose</v>
      </c>
      <c r="F241" s="40" t="s">
        <v>53</v>
      </c>
      <c r="G241" s="41">
        <v>3.0</v>
      </c>
      <c r="H241" s="41">
        <v>5.0</v>
      </c>
      <c r="I241" s="42">
        <v>1988.0</v>
      </c>
      <c r="J241" s="41" t="s">
        <v>75</v>
      </c>
      <c r="K241" s="41" t="s">
        <v>76</v>
      </c>
      <c r="L241" s="41" t="s">
        <v>599</v>
      </c>
      <c r="M241" s="28" t="b">
        <v>1</v>
      </c>
      <c r="N241" s="28" t="b">
        <v>0</v>
      </c>
      <c r="O241" s="28" t="b">
        <v>0</v>
      </c>
      <c r="P241" s="42" t="b">
        <v>0</v>
      </c>
      <c r="Q241" s="43" t="s">
        <v>47</v>
      </c>
      <c r="R241" s="21"/>
      <c r="S241" s="21"/>
      <c r="T241" s="21"/>
      <c r="U241" s="38"/>
      <c r="AA241" s="20"/>
    </row>
    <row r="242" ht="22.5" customHeight="1">
      <c r="A242" s="38" t="s">
        <v>509</v>
      </c>
      <c r="B242" s="32"/>
      <c r="C242" s="32" t="str">
        <f t="array" ref="C242">IF(A242="","",_xlfn.XLOOKUP(A242,Catalogo_BR!$A$2:$A$277,Catalogo_BR!$B$2:$B$277,"",0))</f>
        <v>Super Futebol</v>
      </c>
      <c r="D242" s="32" t="s">
        <v>604</v>
      </c>
      <c r="E242" s="28" t="str">
        <f t="shared" si="1"/>
        <v>Loose</v>
      </c>
      <c r="F242" s="40" t="s">
        <v>53</v>
      </c>
      <c r="G242" s="41">
        <v>0.0</v>
      </c>
      <c r="H242" s="41">
        <v>2.0</v>
      </c>
      <c r="I242" s="42">
        <v>1987.0</v>
      </c>
      <c r="J242" s="41" t="s">
        <v>46</v>
      </c>
      <c r="K242" s="41" t="s">
        <v>76</v>
      </c>
      <c r="L242" s="41" t="s">
        <v>599</v>
      </c>
      <c r="M242" s="28" t="b">
        <v>1</v>
      </c>
      <c r="N242" s="28" t="b">
        <v>0</v>
      </c>
      <c r="O242" s="28" t="b">
        <v>0</v>
      </c>
      <c r="P242" s="42" t="b">
        <v>0</v>
      </c>
      <c r="Q242" s="43" t="s">
        <v>47</v>
      </c>
      <c r="R242" s="21"/>
      <c r="S242" s="21"/>
      <c r="T242" s="21"/>
      <c r="U242" s="38"/>
      <c r="AA242" s="20"/>
    </row>
    <row r="243" ht="22.5" customHeight="1">
      <c r="A243" s="38" t="s">
        <v>519</v>
      </c>
      <c r="B243" s="32"/>
      <c r="C243" s="32" t="str">
        <f t="array" ref="C243">IF(A243="","",_xlfn.XLOOKUP(A243,Catalogo_BR!$A$2:$A$277,Catalogo_BR!$B$2:$B$277,"",0))</f>
        <v>Super Tennis</v>
      </c>
      <c r="D243" s="32"/>
      <c r="E243" s="28" t="str">
        <f t="shared" si="1"/>
        <v>Loose</v>
      </c>
      <c r="F243" s="40" t="s">
        <v>53</v>
      </c>
      <c r="G243" s="41">
        <v>3.0</v>
      </c>
      <c r="H243" s="41">
        <v>2.0</v>
      </c>
      <c r="I243" s="42">
        <v>1989.0</v>
      </c>
      <c r="J243" s="41" t="s">
        <v>75</v>
      </c>
      <c r="K243" s="41" t="s">
        <v>76</v>
      </c>
      <c r="L243" s="41" t="s">
        <v>599</v>
      </c>
      <c r="M243" s="28" t="b">
        <v>1</v>
      </c>
      <c r="N243" s="28" t="b">
        <v>0</v>
      </c>
      <c r="O243" s="28" t="b">
        <v>0</v>
      </c>
      <c r="P243" s="42" t="b">
        <v>0</v>
      </c>
      <c r="Q243" s="43" t="s">
        <v>47</v>
      </c>
      <c r="R243" s="21"/>
      <c r="S243" s="21"/>
      <c r="T243" s="21"/>
      <c r="U243" s="38"/>
      <c r="AA243" s="20"/>
    </row>
    <row r="244" ht="22.5" customHeight="1">
      <c r="A244" s="38" t="s">
        <v>555</v>
      </c>
      <c r="B244" s="32"/>
      <c r="C244" s="32" t="str">
        <f t="array" ref="C244">IF(A244="","",_xlfn.XLOOKUP(A244,Catalogo_BR!$A$2:$A$277,Catalogo_BR!$B$2:$B$277,"",0))</f>
        <v>Thunder Blade</v>
      </c>
      <c r="D244" s="32"/>
      <c r="E244" s="28" t="str">
        <f t="shared" si="1"/>
        <v>Loose</v>
      </c>
      <c r="F244" s="40" t="s">
        <v>53</v>
      </c>
      <c r="G244" s="41">
        <v>0.0</v>
      </c>
      <c r="H244" s="41">
        <v>3.0</v>
      </c>
      <c r="I244" s="42">
        <v>1988.0</v>
      </c>
      <c r="J244" s="41" t="s">
        <v>75</v>
      </c>
      <c r="K244" s="41" t="s">
        <v>76</v>
      </c>
      <c r="L244" s="41" t="s">
        <v>599</v>
      </c>
      <c r="M244" s="28" t="b">
        <v>1</v>
      </c>
      <c r="N244" s="28" t="b">
        <v>0</v>
      </c>
      <c r="O244" s="28" t="b">
        <v>0</v>
      </c>
      <c r="P244" s="42" t="b">
        <v>0</v>
      </c>
      <c r="Q244" s="43" t="s">
        <v>47</v>
      </c>
      <c r="R244" s="21"/>
      <c r="S244" s="21"/>
      <c r="T244" s="21"/>
      <c r="U244" s="38"/>
      <c r="AA244" s="20"/>
    </row>
    <row r="245" ht="22.5" customHeight="1">
      <c r="A245" s="38" t="s">
        <v>555</v>
      </c>
      <c r="B245" s="32"/>
      <c r="C245" s="32" t="str">
        <f t="array" ref="C245">IF(A245="","",_xlfn.XLOOKUP(A245,Catalogo_BR!$A$2:$A$277,Catalogo_BR!$B$2:$B$277,"",0))</f>
        <v>Thunder Blade</v>
      </c>
      <c r="D245" s="32"/>
      <c r="E245" s="28" t="str">
        <f t="shared" si="1"/>
        <v>Loose</v>
      </c>
      <c r="F245" s="40" t="s">
        <v>53</v>
      </c>
      <c r="G245" s="41">
        <v>0.0</v>
      </c>
      <c r="H245" s="41">
        <v>3.0</v>
      </c>
      <c r="I245" s="42">
        <v>1988.0</v>
      </c>
      <c r="J245" s="41" t="s">
        <v>75</v>
      </c>
      <c r="K245" s="41" t="s">
        <v>76</v>
      </c>
      <c r="L245" s="41" t="s">
        <v>599</v>
      </c>
      <c r="M245" s="28" t="b">
        <v>1</v>
      </c>
      <c r="N245" s="28" t="b">
        <v>0</v>
      </c>
      <c r="O245" s="28" t="b">
        <v>0</v>
      </c>
      <c r="P245" s="42" t="b">
        <v>0</v>
      </c>
      <c r="Q245" s="43" t="s">
        <v>47</v>
      </c>
      <c r="R245" s="21"/>
      <c r="S245" s="21"/>
      <c r="T245" s="21"/>
      <c r="U245" s="38"/>
      <c r="AA245" s="20"/>
    </row>
    <row r="246" ht="22.5" customHeight="1">
      <c r="A246" s="38" t="s">
        <v>569</v>
      </c>
      <c r="B246" s="32"/>
      <c r="C246" s="32" t="str">
        <f t="array" ref="C246">IF(A246="","",_xlfn.XLOOKUP(A246,Catalogo_BR!$A$2:$A$277,Catalogo_BR!$B$2:$B$277,"",0))</f>
        <v>Wanted</v>
      </c>
      <c r="D246" s="32"/>
      <c r="E246" s="28" t="str">
        <f t="shared" si="1"/>
        <v>Loose</v>
      </c>
      <c r="F246" s="40" t="s">
        <v>53</v>
      </c>
      <c r="G246" s="41">
        <v>0.0</v>
      </c>
      <c r="H246" s="41">
        <v>2.0</v>
      </c>
      <c r="I246" s="42">
        <v>1989.0</v>
      </c>
      <c r="J246" s="41" t="s">
        <v>75</v>
      </c>
      <c r="K246" s="41" t="s">
        <v>76</v>
      </c>
      <c r="L246" s="41" t="s">
        <v>599</v>
      </c>
      <c r="M246" s="28" t="b">
        <v>1</v>
      </c>
      <c r="N246" s="28" t="b">
        <v>0</v>
      </c>
      <c r="O246" s="28" t="b">
        <v>0</v>
      </c>
      <c r="P246" s="42" t="b">
        <v>0</v>
      </c>
      <c r="Q246" s="43" t="s">
        <v>47</v>
      </c>
      <c r="R246" s="21"/>
      <c r="S246" s="21"/>
      <c r="T246" s="21"/>
      <c r="U246" s="38"/>
      <c r="AA246" s="20"/>
    </row>
    <row r="247" ht="22.5" customHeight="1">
      <c r="A247" s="38" t="s">
        <v>569</v>
      </c>
      <c r="B247" s="32"/>
      <c r="C247" s="32" t="str">
        <f t="array" ref="C247">IF(A247="","",_xlfn.XLOOKUP(A247,Catalogo_BR!$A$2:$A$277,Catalogo_BR!$B$2:$B$277,"",0))</f>
        <v>Wanted</v>
      </c>
      <c r="D247" s="32"/>
      <c r="E247" s="28" t="str">
        <f t="shared" si="1"/>
        <v>Loose</v>
      </c>
      <c r="F247" s="40" t="s">
        <v>53</v>
      </c>
      <c r="G247" s="41">
        <v>0.0</v>
      </c>
      <c r="H247" s="41">
        <v>2.0</v>
      </c>
      <c r="I247" s="42">
        <v>1989.0</v>
      </c>
      <c r="J247" s="41" t="s">
        <v>75</v>
      </c>
      <c r="K247" s="41" t="s">
        <v>76</v>
      </c>
      <c r="L247" s="41" t="s">
        <v>599</v>
      </c>
      <c r="M247" s="28" t="b">
        <v>1</v>
      </c>
      <c r="N247" s="28" t="b">
        <v>0</v>
      </c>
      <c r="O247" s="28" t="b">
        <v>0</v>
      </c>
      <c r="P247" s="42" t="b">
        <v>0</v>
      </c>
      <c r="Q247" s="43" t="s">
        <v>47</v>
      </c>
      <c r="R247" s="21"/>
      <c r="S247" s="21"/>
      <c r="T247" s="21"/>
      <c r="U247" s="38"/>
      <c r="AA247" s="20"/>
    </row>
    <row r="248" ht="22.5" customHeight="1">
      <c r="A248" s="38" t="s">
        <v>587</v>
      </c>
      <c r="B248" s="32"/>
      <c r="C248" s="32" t="str">
        <f t="array" ref="C248">IF(A248="","",_xlfn.XLOOKUP(A248,Catalogo_BR!$A$2:$A$277,Catalogo_BR!$B$2:$B$277,"",0))</f>
        <v>World Grand Prix</v>
      </c>
      <c r="D248" s="32"/>
      <c r="E248" s="28" t="str">
        <f t="shared" si="1"/>
        <v>Loose</v>
      </c>
      <c r="F248" s="40" t="s">
        <v>53</v>
      </c>
      <c r="G248" s="41">
        <v>3.0</v>
      </c>
      <c r="H248" s="41">
        <v>3.0</v>
      </c>
      <c r="I248" s="42">
        <v>1986.0</v>
      </c>
      <c r="J248" s="41" t="s">
        <v>75</v>
      </c>
      <c r="K248" s="41" t="s">
        <v>76</v>
      </c>
      <c r="L248" s="41" t="s">
        <v>599</v>
      </c>
      <c r="M248" s="28" t="b">
        <v>1</v>
      </c>
      <c r="N248" s="28" t="b">
        <v>0</v>
      </c>
      <c r="O248" s="28" t="b">
        <v>0</v>
      </c>
      <c r="P248" s="42" t="b">
        <v>0</v>
      </c>
      <c r="Q248" s="43" t="s">
        <v>47</v>
      </c>
      <c r="R248" s="21"/>
      <c r="S248" s="21"/>
      <c r="T248" s="21"/>
      <c r="U248" s="38" t="s">
        <v>290</v>
      </c>
      <c r="AA248" s="20"/>
    </row>
    <row r="249" ht="22.5" customHeight="1">
      <c r="A249" s="38" t="s">
        <v>587</v>
      </c>
      <c r="B249" s="32"/>
      <c r="C249" s="32" t="str">
        <f t="array" ref="C249">IF(A249="","",_xlfn.XLOOKUP(A249,Catalogo_BR!$A$2:$A$277,Catalogo_BR!$B$2:$B$277,"",0))</f>
        <v>World Grand Prix</v>
      </c>
      <c r="D249" s="32"/>
      <c r="E249" s="28" t="str">
        <f t="shared" si="1"/>
        <v>Loose</v>
      </c>
      <c r="F249" s="40" t="s">
        <v>53</v>
      </c>
      <c r="G249" s="41">
        <v>3.0</v>
      </c>
      <c r="H249" s="41">
        <v>3.0</v>
      </c>
      <c r="I249" s="42">
        <v>1986.0</v>
      </c>
      <c r="J249" s="41" t="s">
        <v>46</v>
      </c>
      <c r="K249" s="41" t="s">
        <v>76</v>
      </c>
      <c r="L249" s="41" t="s">
        <v>599</v>
      </c>
      <c r="M249" s="28" t="b">
        <v>1</v>
      </c>
      <c r="N249" s="28" t="b">
        <v>0</v>
      </c>
      <c r="O249" s="28" t="b">
        <v>0</v>
      </c>
      <c r="P249" s="42" t="b">
        <v>0</v>
      </c>
      <c r="Q249" s="43" t="s">
        <v>47</v>
      </c>
      <c r="R249" s="21"/>
      <c r="S249" s="21"/>
      <c r="T249" s="21"/>
      <c r="U249" s="38" t="s">
        <v>290</v>
      </c>
      <c r="AA249" s="20"/>
    </row>
    <row r="250" ht="22.5" customHeight="1">
      <c r="A250" s="38" t="s">
        <v>594</v>
      </c>
      <c r="B250" s="32"/>
      <c r="C250" s="32" t="str">
        <f t="array" ref="C250">IF(A250="","",_xlfn.XLOOKUP(A250,Catalogo_BR!$A$2:$A$277,Catalogo_BR!$B$2:$B$277,"",0))</f>
        <v>Zaxxon 3D</v>
      </c>
      <c r="D250" s="32"/>
      <c r="E250" s="28" t="str">
        <f t="shared" si="1"/>
        <v>Loose</v>
      </c>
      <c r="F250" s="40" t="s">
        <v>53</v>
      </c>
      <c r="G250" s="41">
        <v>0.0</v>
      </c>
      <c r="H250" s="41">
        <v>2.0</v>
      </c>
      <c r="I250" s="42">
        <v>1987.0</v>
      </c>
      <c r="J250" s="41" t="s">
        <v>75</v>
      </c>
      <c r="K250" s="41" t="s">
        <v>76</v>
      </c>
      <c r="L250" s="41" t="s">
        <v>599</v>
      </c>
      <c r="M250" s="28" t="b">
        <v>1</v>
      </c>
      <c r="N250" s="28" t="b">
        <v>0</v>
      </c>
      <c r="O250" s="28" t="b">
        <v>0</v>
      </c>
      <c r="P250" s="42" t="b">
        <v>0</v>
      </c>
      <c r="Q250" s="43" t="s">
        <v>47</v>
      </c>
      <c r="R250" s="21"/>
      <c r="S250" s="21"/>
      <c r="T250" s="21"/>
      <c r="U250" s="38"/>
      <c r="AA250" s="20"/>
    </row>
    <row r="251" ht="22.5" customHeight="1">
      <c r="A251" s="38" t="s">
        <v>467</v>
      </c>
      <c r="B251" s="32"/>
      <c r="C251" s="32" t="str">
        <f t="array" ref="C251">IF(A251="","",_xlfn.XLOOKUP(A251,Catalogo_BR!$A$2:$A$277,Catalogo_BR!$B$2:$B$277,"",0))</f>
        <v>Shinobi</v>
      </c>
      <c r="D251" s="32"/>
      <c r="E251" s="28" t="str">
        <f t="shared" si="1"/>
        <v>Loose</v>
      </c>
      <c r="F251" s="40" t="s">
        <v>100</v>
      </c>
      <c r="G251" s="41">
        <v>3.0</v>
      </c>
      <c r="H251" s="41">
        <v>5.0</v>
      </c>
      <c r="I251" s="42">
        <v>1988.0</v>
      </c>
      <c r="J251" s="41" t="s">
        <v>75</v>
      </c>
      <c r="K251" s="41" t="s">
        <v>76</v>
      </c>
      <c r="L251" s="41" t="s">
        <v>599</v>
      </c>
      <c r="M251" s="28" t="b">
        <v>1</v>
      </c>
      <c r="N251" s="28" t="b">
        <v>0</v>
      </c>
      <c r="O251" s="28" t="b">
        <v>0</v>
      </c>
      <c r="P251" s="42" t="b">
        <v>0</v>
      </c>
      <c r="Q251" s="43" t="s">
        <v>47</v>
      </c>
      <c r="R251" s="21"/>
      <c r="S251" s="21"/>
      <c r="T251" s="21"/>
      <c r="U251" s="38" t="s">
        <v>290</v>
      </c>
      <c r="AA251" s="20"/>
    </row>
    <row r="252" ht="22.5" customHeight="1">
      <c r="A252" s="38" t="s">
        <v>541</v>
      </c>
      <c r="B252" s="32"/>
      <c r="C252" s="32" t="str">
        <f t="array" ref="C252">IF(A252="","",_xlfn.XLOOKUP(A252,Catalogo_BR!$A$2:$A$277,Catalogo_BR!$B$2:$B$277,"",0))</f>
        <v>The Ninja</v>
      </c>
      <c r="D252" s="32"/>
      <c r="E252" s="28" t="str">
        <f t="shared" si="1"/>
        <v>Loose</v>
      </c>
      <c r="F252" s="40" t="s">
        <v>140</v>
      </c>
      <c r="G252" s="41">
        <v>3.0</v>
      </c>
      <c r="H252" s="41">
        <v>3.0</v>
      </c>
      <c r="I252" s="42">
        <v>1986.0</v>
      </c>
      <c r="J252" s="41" t="s">
        <v>75</v>
      </c>
      <c r="K252" s="41" t="s">
        <v>76</v>
      </c>
      <c r="L252" s="41" t="s">
        <v>599</v>
      </c>
      <c r="M252" s="28" t="b">
        <v>1</v>
      </c>
      <c r="N252" s="28" t="b">
        <v>0</v>
      </c>
      <c r="O252" s="28" t="b">
        <v>0</v>
      </c>
      <c r="P252" s="42" t="b">
        <v>0</v>
      </c>
      <c r="Q252" s="43" t="s">
        <v>47</v>
      </c>
      <c r="R252" s="21"/>
      <c r="S252" s="21"/>
      <c r="T252" s="21"/>
      <c r="U252" s="38"/>
      <c r="AA252" s="20"/>
    </row>
    <row r="253" ht="22.5" customHeight="1">
      <c r="A253" s="38" t="s">
        <v>573</v>
      </c>
      <c r="B253" s="32"/>
      <c r="C253" s="32" t="str">
        <f t="array" ref="C253">IF(A253="","",_xlfn.XLOOKUP(A253,Catalogo_BR!$A$2:$A$277,Catalogo_BR!$B$2:$B$277,"",0))</f>
        <v>Wimbledon</v>
      </c>
      <c r="D253" s="32"/>
      <c r="E253" s="28" t="str">
        <f t="shared" si="1"/>
        <v>Loose</v>
      </c>
      <c r="F253" s="40" t="s">
        <v>140</v>
      </c>
      <c r="G253" s="41">
        <v>3.0</v>
      </c>
      <c r="H253" s="41">
        <v>2.0</v>
      </c>
      <c r="I253" s="42">
        <v>1992.0</v>
      </c>
      <c r="J253" s="41" t="s">
        <v>46</v>
      </c>
      <c r="K253" s="41" t="s">
        <v>76</v>
      </c>
      <c r="L253" s="41" t="s">
        <v>599</v>
      </c>
      <c r="M253" s="28" t="b">
        <v>1</v>
      </c>
      <c r="N253" s="28" t="b">
        <v>0</v>
      </c>
      <c r="O253" s="28" t="b">
        <v>0</v>
      </c>
      <c r="P253" s="42" t="b">
        <v>0</v>
      </c>
      <c r="Q253" s="43" t="s">
        <v>47</v>
      </c>
      <c r="R253" s="21"/>
      <c r="S253" s="21"/>
      <c r="T253" s="21"/>
      <c r="U253" s="38"/>
      <c r="AA253" s="20"/>
    </row>
    <row r="254" ht="22.5" customHeight="1">
      <c r="A254" s="38" t="s">
        <v>480</v>
      </c>
      <c r="B254" s="32"/>
      <c r="C254" s="32" t="str">
        <f t="array" ref="C254">IF(A254="","",_xlfn.XLOOKUP(A254,Catalogo_BR!$A$2:$A$277,Catalogo_BR!$B$2:$B$277,"",0))</f>
        <v>Sonic The Hedgehog 2</v>
      </c>
      <c r="D254" s="32"/>
      <c r="E254" s="28" t="str">
        <f t="shared" si="1"/>
        <v>Loose</v>
      </c>
      <c r="F254" s="40" t="s">
        <v>39</v>
      </c>
      <c r="G254" s="41">
        <v>0.0</v>
      </c>
      <c r="H254" s="41">
        <v>5.0</v>
      </c>
      <c r="I254" s="42">
        <v>1992.0</v>
      </c>
      <c r="J254" s="41" t="s">
        <v>46</v>
      </c>
      <c r="K254" s="41" t="s">
        <v>76</v>
      </c>
      <c r="L254" s="41" t="s">
        <v>599</v>
      </c>
      <c r="M254" s="28" t="b">
        <v>1</v>
      </c>
      <c r="N254" s="28" t="b">
        <v>0</v>
      </c>
      <c r="O254" s="28" t="b">
        <v>0</v>
      </c>
      <c r="P254" s="42" t="b">
        <v>0</v>
      </c>
      <c r="Q254" s="43" t="s">
        <v>47</v>
      </c>
      <c r="R254" s="21"/>
      <c r="S254" s="21"/>
      <c r="T254" s="21"/>
      <c r="U254" s="38"/>
      <c r="AA254" s="20"/>
    </row>
    <row r="255" ht="22.5" customHeight="1">
      <c r="A255" s="38" t="s">
        <v>54</v>
      </c>
      <c r="B255" s="32"/>
      <c r="C255" s="32" t="str">
        <f t="array" ref="C255">IF(A255="","",_xlfn.XLOOKUP(A255,Catalogo_BR!$A$2:$A$277,Catalogo_BR!$B$2:$B$277,"",0))</f>
        <v>After Burner</v>
      </c>
      <c r="D255" s="32"/>
      <c r="E255" s="28" t="str">
        <f t="shared" si="1"/>
        <v>Loose</v>
      </c>
      <c r="F255" s="40" t="s">
        <v>39</v>
      </c>
      <c r="G255" s="41">
        <v>2.0</v>
      </c>
      <c r="H255" s="41">
        <v>4.0</v>
      </c>
      <c r="I255" s="42">
        <v>1987.0</v>
      </c>
      <c r="J255" s="41" t="s">
        <v>46</v>
      </c>
      <c r="K255" s="41" t="s">
        <v>76</v>
      </c>
      <c r="L255" s="41" t="s">
        <v>599</v>
      </c>
      <c r="M255" s="28" t="b">
        <v>1</v>
      </c>
      <c r="N255" s="28" t="b">
        <v>0</v>
      </c>
      <c r="O255" s="28" t="b">
        <v>0</v>
      </c>
      <c r="P255" s="42" t="b">
        <v>0</v>
      </c>
      <c r="Q255" s="43" t="s">
        <v>47</v>
      </c>
      <c r="R255" s="21"/>
      <c r="S255" s="21"/>
      <c r="T255" s="21"/>
      <c r="U255" s="38"/>
      <c r="AA255" s="20"/>
    </row>
    <row r="256" ht="22.5" customHeight="1">
      <c r="A256" s="38" t="s">
        <v>79</v>
      </c>
      <c r="B256" s="32"/>
      <c r="C256" s="32" t="str">
        <f t="array" ref="C256">IF(A256="","",_xlfn.XLOOKUP(A256,Catalogo_BR!$A$2:$A$277,Catalogo_BR!$B$2:$B$277,"",0))</f>
        <v>Alien 3</v>
      </c>
      <c r="D256" s="32"/>
      <c r="E256" s="28" t="str">
        <f t="shared" si="1"/>
        <v>Loose</v>
      </c>
      <c r="F256" s="40" t="s">
        <v>39</v>
      </c>
      <c r="G256" s="41">
        <v>2.0</v>
      </c>
      <c r="H256" s="41">
        <v>4.0</v>
      </c>
      <c r="I256" s="42">
        <v>1992.0</v>
      </c>
      <c r="J256" s="41" t="s">
        <v>75</v>
      </c>
      <c r="K256" s="41" t="s">
        <v>76</v>
      </c>
      <c r="L256" s="41" t="s">
        <v>599</v>
      </c>
      <c r="M256" s="28" t="b">
        <v>1</v>
      </c>
      <c r="N256" s="28" t="b">
        <v>0</v>
      </c>
      <c r="O256" s="28" t="b">
        <v>0</v>
      </c>
      <c r="P256" s="42" t="b">
        <v>0</v>
      </c>
      <c r="Q256" s="43" t="s">
        <v>47</v>
      </c>
      <c r="R256" s="21"/>
      <c r="S256" s="21"/>
      <c r="T256" s="21"/>
      <c r="U256" s="38"/>
      <c r="AA256" s="20"/>
    </row>
    <row r="257" ht="22.5" customHeight="1">
      <c r="A257" s="61" t="s">
        <v>304</v>
      </c>
      <c r="B257" s="62"/>
      <c r="C257" s="62" t="str">
        <f t="array" ref="C257">IF(A257="","",_xlfn.XLOOKUP(A257,Catalogo_BR!$A$2:$A$277,Catalogo_BR!$B$2:$B$277,"",0))</f>
        <v>Great Voley</v>
      </c>
      <c r="D257" s="62" t="s">
        <v>602</v>
      </c>
      <c r="E257" s="63" t="str">
        <f t="shared" si="1"/>
        <v>Loose</v>
      </c>
      <c r="F257" s="64" t="s">
        <v>39</v>
      </c>
      <c r="G257" s="65">
        <v>3.0</v>
      </c>
      <c r="H257" s="66">
        <v>3.0</v>
      </c>
      <c r="I257" s="67">
        <v>1987.0</v>
      </c>
      <c r="J257" s="68" t="s">
        <v>46</v>
      </c>
      <c r="K257" s="69" t="s">
        <v>76</v>
      </c>
      <c r="L257" s="70" t="s">
        <v>599</v>
      </c>
      <c r="M257" s="71" t="b">
        <v>1</v>
      </c>
      <c r="N257" s="71" t="b">
        <v>0</v>
      </c>
      <c r="O257" s="71" t="b">
        <v>0</v>
      </c>
      <c r="P257" s="67" t="b">
        <v>0</v>
      </c>
      <c r="Q257" s="72" t="s">
        <v>47</v>
      </c>
      <c r="R257" s="73"/>
      <c r="S257" s="73"/>
      <c r="T257" s="73"/>
      <c r="U257" s="61"/>
      <c r="AA257" s="20"/>
    </row>
    <row r="258" ht="22.5" customHeight="1">
      <c r="A258" s="38" t="s">
        <v>539</v>
      </c>
      <c r="B258" s="32"/>
      <c r="C258" s="32" t="str">
        <f t="array" ref="C258">IF(A258="","",_xlfn.XLOOKUP(A258,Catalogo_BR!$A$2:$A$277,Catalogo_BR!$B$2:$B$277,"",0))</f>
        <v>The Lucky Dime Caper Estrelando Pato Donald</v>
      </c>
      <c r="D258" s="32"/>
      <c r="E258" s="28" t="str">
        <f t="shared" si="1"/>
        <v>Loose</v>
      </c>
      <c r="F258" s="40" t="s">
        <v>39</v>
      </c>
      <c r="G258" s="41">
        <v>3.0</v>
      </c>
      <c r="H258" s="41">
        <v>4.0</v>
      </c>
      <c r="I258" s="42">
        <v>1991.0</v>
      </c>
      <c r="J258" s="41" t="s">
        <v>75</v>
      </c>
      <c r="K258" s="41" t="s">
        <v>76</v>
      </c>
      <c r="L258" s="41" t="s">
        <v>599</v>
      </c>
      <c r="M258" s="28" t="b">
        <v>1</v>
      </c>
      <c r="N258" s="28" t="b">
        <v>0</v>
      </c>
      <c r="O258" s="28" t="b">
        <v>0</v>
      </c>
      <c r="P258" s="42" t="b">
        <v>0</v>
      </c>
      <c r="Q258" s="43" t="s">
        <v>47</v>
      </c>
      <c r="R258" s="21"/>
      <c r="S258" s="21"/>
      <c r="T258" s="21"/>
      <c r="U258" s="38"/>
      <c r="AA258" s="20"/>
    </row>
    <row r="259" ht="22.5" customHeight="1">
      <c r="A259" s="38" t="s">
        <v>17</v>
      </c>
      <c r="B259" s="32"/>
      <c r="C259" s="32" t="str">
        <f t="array" ref="C259">IF(A259="","",_xlfn.XLOOKUP(A259,Catalogo_BR!$A$2:$A$277,Catalogo_BR!$B$2:$B$277,"",0))</f>
        <v>20 em 1</v>
      </c>
      <c r="D259" s="32" t="str">
        <f t="array" ref="D259">IF(A259="","",_xlfn.XLOOKUP(A259,Catalogo_BR!$A$2:$A$277,Catalogo_BR!$C$2:$C$277,"",0))</f>
        <v/>
      </c>
      <c r="E259" s="28" t="str">
        <f t="shared" si="1"/>
        <v>Não possuo</v>
      </c>
      <c r="F259" s="40" t="s">
        <v>23</v>
      </c>
      <c r="G259" s="41">
        <v>3.0</v>
      </c>
      <c r="H259" s="41">
        <v>1.0</v>
      </c>
      <c r="I259" s="42">
        <v>1999.0</v>
      </c>
      <c r="J259" s="41" t="s">
        <v>75</v>
      </c>
      <c r="K259" s="41" t="s">
        <v>46</v>
      </c>
      <c r="L259" s="41" t="s">
        <v>599</v>
      </c>
      <c r="M259" s="28" t="b">
        <v>0</v>
      </c>
      <c r="N259" s="28" t="b">
        <v>0</v>
      </c>
      <c r="O259" s="28" t="b">
        <v>0</v>
      </c>
      <c r="P259" s="42" t="b">
        <v>0</v>
      </c>
      <c r="Q259" s="43" t="s">
        <v>47</v>
      </c>
      <c r="R259" s="21"/>
      <c r="S259" s="21"/>
      <c r="T259" s="21"/>
      <c r="U259" s="38"/>
      <c r="AA259" s="20"/>
    </row>
    <row r="260" ht="22.5" customHeight="1">
      <c r="A260" s="38" t="s">
        <v>64</v>
      </c>
      <c r="B260" s="32"/>
      <c r="C260" s="32" t="str">
        <f t="array" ref="C260">IF(A260="","",_xlfn.XLOOKUP(A260,Catalogo_BR!$A$2:$A$277,Catalogo_BR!$B$2:$B$277,"",0))</f>
        <v>Alex Kidd in Miracle World</v>
      </c>
      <c r="D260" s="32"/>
      <c r="E260" s="28" t="str">
        <f t="shared" si="1"/>
        <v>Não possuo</v>
      </c>
      <c r="F260" s="40" t="s">
        <v>53</v>
      </c>
      <c r="G260" s="41">
        <v>3.0</v>
      </c>
      <c r="H260" s="41">
        <v>5.0</v>
      </c>
      <c r="I260" s="42">
        <v>1986.0</v>
      </c>
      <c r="J260" s="41" t="s">
        <v>75</v>
      </c>
      <c r="K260" s="41" t="s">
        <v>76</v>
      </c>
      <c r="L260" s="41" t="s">
        <v>599</v>
      </c>
      <c r="M260" s="28" t="b">
        <v>0</v>
      </c>
      <c r="N260" s="28" t="b">
        <v>0</v>
      </c>
      <c r="O260" s="28" t="b">
        <v>0</v>
      </c>
      <c r="P260" s="42" t="b">
        <v>0</v>
      </c>
      <c r="Q260" s="43" t="s">
        <v>47</v>
      </c>
      <c r="R260" s="21"/>
      <c r="S260" s="21"/>
      <c r="T260" s="21"/>
      <c r="U260" s="38"/>
      <c r="AA260" s="20"/>
    </row>
    <row r="261" ht="22.5" customHeight="1">
      <c r="A261" s="38" t="s">
        <v>98</v>
      </c>
      <c r="B261" s="32"/>
      <c r="C261" s="32" t="str">
        <f t="array" ref="C261">IF(A261="","",_xlfn.XLOOKUP(A261,Catalogo_BR!$A$2:$A$277,Catalogo_BR!$B$2:$B$277,"",0))</f>
        <v>Andre Agassi Tennis</v>
      </c>
      <c r="D261" s="32"/>
      <c r="E261" s="28" t="str">
        <f t="shared" si="1"/>
        <v>Não possuo</v>
      </c>
      <c r="F261" s="40" t="s">
        <v>100</v>
      </c>
      <c r="G261" s="41">
        <v>3.0</v>
      </c>
      <c r="H261" s="41">
        <v>2.0</v>
      </c>
      <c r="I261" s="42">
        <v>1993.0</v>
      </c>
      <c r="J261" s="41" t="s">
        <v>75</v>
      </c>
      <c r="K261" s="41" t="s">
        <v>76</v>
      </c>
      <c r="L261" s="41" t="s">
        <v>599</v>
      </c>
      <c r="M261" s="28" t="b">
        <v>0</v>
      </c>
      <c r="N261" s="28" t="b">
        <v>0</v>
      </c>
      <c r="O261" s="28" t="b">
        <v>0</v>
      </c>
      <c r="P261" s="42" t="b">
        <v>0</v>
      </c>
      <c r="Q261" s="43" t="s">
        <v>47</v>
      </c>
      <c r="R261" s="21"/>
      <c r="S261" s="21"/>
      <c r="T261" s="21"/>
      <c r="U261" s="38"/>
      <c r="AA261" s="20"/>
    </row>
    <row r="262" ht="22.5" customHeight="1">
      <c r="A262" s="38" t="s">
        <v>147</v>
      </c>
      <c r="B262" s="32"/>
      <c r="C262" s="32" t="str">
        <f t="array" ref="C262">IF(A262="","",_xlfn.XLOOKUP(A262,Catalogo_BR!$A$2:$A$277,Catalogo_BR!$B$2:$B$277,"",0))</f>
        <v>Blade Eagle 3D</v>
      </c>
      <c r="D262" s="32"/>
      <c r="E262" s="28" t="str">
        <f t="shared" si="1"/>
        <v>Não possuo</v>
      </c>
      <c r="F262" s="40" t="s">
        <v>53</v>
      </c>
      <c r="G262" s="41">
        <v>3.0</v>
      </c>
      <c r="H262" s="41">
        <v>2.0</v>
      </c>
      <c r="I262" s="42">
        <v>1988.0</v>
      </c>
      <c r="J262" s="41" t="s">
        <v>75</v>
      </c>
      <c r="K262" s="41" t="s">
        <v>76</v>
      </c>
      <c r="L262" s="41" t="s">
        <v>599</v>
      </c>
      <c r="M262" s="28" t="b">
        <v>0</v>
      </c>
      <c r="N262" s="28" t="b">
        <v>0</v>
      </c>
      <c r="O262" s="28" t="b">
        <v>0</v>
      </c>
      <c r="P262" s="42" t="b">
        <v>0</v>
      </c>
      <c r="Q262" s="43" t="s">
        <v>47</v>
      </c>
      <c r="R262" s="21"/>
      <c r="S262" s="21"/>
      <c r="T262" s="21"/>
      <c r="U262" s="38"/>
      <c r="AA262" s="20"/>
    </row>
    <row r="263" ht="22.5" customHeight="1">
      <c r="A263" s="38" t="s">
        <v>196</v>
      </c>
      <c r="B263" s="32"/>
      <c r="C263" s="32" t="str">
        <f t="array" ref="C263">IF(A263="","",_xlfn.XLOOKUP(A263,Catalogo_BR!$A$2:$A$277,Catalogo_BR!$B$2:$B$277,"",0))</f>
        <v>Disney's Aladdin</v>
      </c>
      <c r="D263" s="32"/>
      <c r="E263" s="28" t="str">
        <f t="shared" si="1"/>
        <v>Não possuo</v>
      </c>
      <c r="F263" s="40" t="s">
        <v>100</v>
      </c>
      <c r="G263" s="41">
        <v>3.0</v>
      </c>
      <c r="H263" s="41">
        <v>3.0</v>
      </c>
      <c r="I263" s="42">
        <v>1994.0</v>
      </c>
      <c r="J263" s="41" t="s">
        <v>75</v>
      </c>
      <c r="K263" s="41" t="s">
        <v>76</v>
      </c>
      <c r="L263" s="41" t="s">
        <v>599</v>
      </c>
      <c r="M263" s="28" t="b">
        <v>0</v>
      </c>
      <c r="N263" s="28" t="b">
        <v>0</v>
      </c>
      <c r="O263" s="28" t="b">
        <v>0</v>
      </c>
      <c r="P263" s="42" t="b">
        <v>0</v>
      </c>
      <c r="Q263" s="43" t="s">
        <v>47</v>
      </c>
      <c r="R263" s="21"/>
      <c r="S263" s="21"/>
      <c r="T263" s="21"/>
      <c r="U263" s="38"/>
      <c r="AA263" s="20"/>
    </row>
    <row r="264" ht="22.5" customHeight="1">
      <c r="A264" s="38" t="s">
        <v>200</v>
      </c>
      <c r="B264" s="32"/>
      <c r="C264" s="32" t="str">
        <f t="array" ref="C264">IF(A264="","",_xlfn.XLOOKUP(A264,Catalogo_BR!$A$2:$A$277,Catalogo_BR!$B$2:$B$277,"",0))</f>
        <v>Double Dragon</v>
      </c>
      <c r="D264" s="32"/>
      <c r="E264" s="28" t="str">
        <f t="shared" si="1"/>
        <v>Não possuo</v>
      </c>
      <c r="F264" s="40" t="s">
        <v>53</v>
      </c>
      <c r="G264" s="41">
        <v>3.0</v>
      </c>
      <c r="H264" s="41">
        <v>3.0</v>
      </c>
      <c r="I264" s="42">
        <v>1988.0</v>
      </c>
      <c r="J264" s="41" t="s">
        <v>75</v>
      </c>
      <c r="K264" s="41" t="s">
        <v>76</v>
      </c>
      <c r="L264" s="41" t="s">
        <v>599</v>
      </c>
      <c r="M264" s="28" t="b">
        <v>0</v>
      </c>
      <c r="N264" s="28" t="b">
        <v>0</v>
      </c>
      <c r="O264" s="28" t="b">
        <v>0</v>
      </c>
      <c r="P264" s="42" t="b">
        <v>0</v>
      </c>
      <c r="Q264" s="43" t="s">
        <v>47</v>
      </c>
      <c r="R264" s="21"/>
      <c r="S264" s="21"/>
      <c r="T264" s="21"/>
      <c r="U264" s="38"/>
      <c r="AA264" s="20"/>
    </row>
    <row r="265" ht="22.5" customHeight="1">
      <c r="A265" s="38" t="s">
        <v>222</v>
      </c>
      <c r="B265" s="32"/>
      <c r="C265" s="32" t="str">
        <f t="array" ref="C265">IF(A265="","",_xlfn.XLOOKUP(A265,Catalogo_BR!$A$2:$A$277,Catalogo_BR!$B$2:$B$277,"",0))</f>
        <v>Ecco The Dolphin</v>
      </c>
      <c r="D265" s="32"/>
      <c r="E265" s="28" t="str">
        <f t="shared" si="1"/>
        <v>Não possuo</v>
      </c>
      <c r="F265" s="40" t="s">
        <v>100</v>
      </c>
      <c r="G265" s="41">
        <v>3.0</v>
      </c>
      <c r="H265" s="41">
        <v>3.0</v>
      </c>
      <c r="I265" s="42">
        <v>1993.0</v>
      </c>
      <c r="J265" s="41" t="s">
        <v>75</v>
      </c>
      <c r="K265" s="41" t="s">
        <v>76</v>
      </c>
      <c r="L265" s="41" t="s">
        <v>599</v>
      </c>
      <c r="M265" s="28" t="b">
        <v>0</v>
      </c>
      <c r="N265" s="28" t="b">
        <v>0</v>
      </c>
      <c r="O265" s="28" t="b">
        <v>0</v>
      </c>
      <c r="P265" s="42" t="b">
        <v>0</v>
      </c>
      <c r="Q265" s="43" t="s">
        <v>47</v>
      </c>
      <c r="R265" s="21"/>
      <c r="S265" s="21"/>
      <c r="T265" s="21"/>
      <c r="U265" s="38"/>
      <c r="AA265" s="20"/>
    </row>
    <row r="266" ht="22.5" customHeight="1">
      <c r="A266" s="38" t="s">
        <v>257</v>
      </c>
      <c r="B266" s="32"/>
      <c r="C266" s="32" t="str">
        <f t="array" ref="C266">IF(A266="","",_xlfn.XLOOKUP(A266,Catalogo_BR!$A$2:$A$277,Catalogo_BR!$B$2:$B$277,"",0))</f>
        <v>Game Box série Esportes Radicais</v>
      </c>
      <c r="D266" s="32"/>
      <c r="E266" s="28" t="str">
        <f t="shared" si="1"/>
        <v>Não possuo</v>
      </c>
      <c r="F266" s="40" t="s">
        <v>254</v>
      </c>
      <c r="G266" s="41">
        <v>3.0</v>
      </c>
      <c r="H266" s="41">
        <v>1.0</v>
      </c>
      <c r="I266" s="42">
        <v>1996.0</v>
      </c>
      <c r="J266" s="41" t="s">
        <v>75</v>
      </c>
      <c r="K266" s="41" t="s">
        <v>76</v>
      </c>
      <c r="L266" s="41" t="s">
        <v>599</v>
      </c>
      <c r="M266" s="28" t="b">
        <v>0</v>
      </c>
      <c r="N266" s="28" t="b">
        <v>0</v>
      </c>
      <c r="O266" s="28" t="b">
        <v>0</v>
      </c>
      <c r="P266" s="42" t="b">
        <v>0</v>
      </c>
      <c r="Q266" s="43" t="s">
        <v>47</v>
      </c>
      <c r="R266" s="21"/>
      <c r="S266" s="21"/>
      <c r="T266" s="21"/>
      <c r="U266" s="38"/>
      <c r="AA266" s="20"/>
    </row>
    <row r="267" ht="22.5" customHeight="1">
      <c r="A267" s="50" t="s">
        <v>259</v>
      </c>
      <c r="B267" s="52"/>
      <c r="C267" s="52" t="str">
        <f t="array" ref="C267">IF(A267="","",_xlfn.XLOOKUP(A267,Catalogo_BR!$A$2:$A$277,Catalogo_BR!$B$2:$B$277,"",0))</f>
        <v>Game Box série Lutas</v>
      </c>
      <c r="D267" s="52"/>
      <c r="E267" s="53" t="str">
        <f t="shared" si="1"/>
        <v>Não possuo</v>
      </c>
      <c r="F267" s="54" t="s">
        <v>254</v>
      </c>
      <c r="G267" s="55">
        <v>3.0</v>
      </c>
      <c r="H267" s="55">
        <v>2.0</v>
      </c>
      <c r="I267" s="56">
        <v>1996.0</v>
      </c>
      <c r="J267" s="55" t="s">
        <v>75</v>
      </c>
      <c r="K267" s="55" t="s">
        <v>76</v>
      </c>
      <c r="L267" s="55" t="s">
        <v>599</v>
      </c>
      <c r="M267" s="57" t="b">
        <v>0</v>
      </c>
      <c r="N267" s="57" t="b">
        <v>0</v>
      </c>
      <c r="O267" s="57" t="b">
        <v>0</v>
      </c>
      <c r="P267" s="56" t="b">
        <v>0</v>
      </c>
      <c r="Q267" s="58" t="s">
        <v>47</v>
      </c>
      <c r="R267" s="59"/>
      <c r="S267" s="59"/>
      <c r="T267" s="59"/>
      <c r="U267" s="50"/>
      <c r="V267" s="60"/>
      <c r="W267" s="60"/>
      <c r="X267" s="60"/>
      <c r="Y267" s="60"/>
      <c r="Z267" s="60"/>
      <c r="AA267" s="60"/>
    </row>
    <row r="268" ht="22.5" customHeight="1">
      <c r="A268" s="38" t="s">
        <v>264</v>
      </c>
      <c r="B268" s="32"/>
      <c r="C268" s="32" t="str">
        <f t="array" ref="C268">IF(A268="","",_xlfn.XLOOKUP(A268,Catalogo_BR!$A$2:$A$277,Catalogo_BR!$B$2:$B$277,"",0))</f>
        <v>Gangster Town</v>
      </c>
      <c r="D268" s="32"/>
      <c r="E268" s="28" t="str">
        <f t="shared" si="1"/>
        <v>Não possuo</v>
      </c>
      <c r="F268" s="40" t="s">
        <v>89</v>
      </c>
      <c r="G268" s="41">
        <v>0.0</v>
      </c>
      <c r="H268" s="41">
        <v>3.0</v>
      </c>
      <c r="I268" s="42">
        <v>1987.0</v>
      </c>
      <c r="J268" s="41" t="s">
        <v>75</v>
      </c>
      <c r="K268" s="41" t="s">
        <v>76</v>
      </c>
      <c r="L268" s="41" t="s">
        <v>599</v>
      </c>
      <c r="M268" s="28" t="b">
        <v>0</v>
      </c>
      <c r="N268" s="28" t="b">
        <v>0</v>
      </c>
      <c r="O268" s="28" t="b">
        <v>0</v>
      </c>
      <c r="P268" s="42" t="b">
        <v>0</v>
      </c>
      <c r="Q268" s="43" t="s">
        <v>47</v>
      </c>
      <c r="R268" s="21"/>
      <c r="S268" s="21"/>
      <c r="T268" s="21"/>
      <c r="U268" s="38" t="s">
        <v>290</v>
      </c>
      <c r="AA268" s="20"/>
    </row>
    <row r="269" ht="22.5" customHeight="1">
      <c r="A269" s="38" t="s">
        <v>300</v>
      </c>
      <c r="B269" s="32"/>
      <c r="C269" s="32" t="str">
        <f t="array" ref="C269">IF(A269="","",_xlfn.XLOOKUP(A269,Catalogo_BR!$A$2:$A$277,Catalogo_BR!$B$2:$B$277,"",0))</f>
        <v>Great Basket</v>
      </c>
      <c r="D269" s="32"/>
      <c r="E269" s="28" t="str">
        <f t="shared" si="1"/>
        <v>Não possuo</v>
      </c>
      <c r="F269" s="40" t="s">
        <v>53</v>
      </c>
      <c r="G269" s="41">
        <v>3.0</v>
      </c>
      <c r="H269" s="41">
        <v>2.0</v>
      </c>
      <c r="I269" s="42">
        <v>1987.0</v>
      </c>
      <c r="J269" s="41" t="s">
        <v>75</v>
      </c>
      <c r="K269" s="41" t="s">
        <v>76</v>
      </c>
      <c r="L269" s="41" t="s">
        <v>599</v>
      </c>
      <c r="M269" s="28" t="b">
        <v>0</v>
      </c>
      <c r="N269" s="28" t="b">
        <v>0</v>
      </c>
      <c r="O269" s="28" t="b">
        <v>0</v>
      </c>
      <c r="P269" s="42" t="b">
        <v>0</v>
      </c>
      <c r="Q269" s="43" t="s">
        <v>47</v>
      </c>
      <c r="R269" s="21"/>
      <c r="S269" s="21"/>
      <c r="T269" s="21"/>
      <c r="U269" s="38"/>
      <c r="AA269" s="20"/>
    </row>
    <row r="270" ht="22.5" customHeight="1">
      <c r="A270" s="38" t="s">
        <v>315</v>
      </c>
      <c r="B270" s="32"/>
      <c r="C270" s="32" t="str">
        <f t="array" ref="C270">IF(A270="","",_xlfn.XLOOKUP(A270,Catalogo_BR!$A$2:$A$277,Catalogo_BR!$B$2:$B$277,"",0))</f>
        <v>Indiana Jones e a Última Cruzada</v>
      </c>
      <c r="D270" s="32"/>
      <c r="E270" s="28" t="str">
        <f t="shared" si="1"/>
        <v>Não possuo</v>
      </c>
      <c r="F270" s="40" t="s">
        <v>89</v>
      </c>
      <c r="G270" s="41">
        <v>3.0</v>
      </c>
      <c r="H270" s="41">
        <v>1.0</v>
      </c>
      <c r="I270" s="42">
        <v>1990.0</v>
      </c>
      <c r="J270" s="41" t="s">
        <v>75</v>
      </c>
      <c r="K270" s="41" t="s">
        <v>76</v>
      </c>
      <c r="L270" s="41" t="s">
        <v>599</v>
      </c>
      <c r="M270" s="28" t="b">
        <v>0</v>
      </c>
      <c r="N270" s="28" t="b">
        <v>0</v>
      </c>
      <c r="O270" s="28" t="b">
        <v>0</v>
      </c>
      <c r="P270" s="42" t="b">
        <v>0</v>
      </c>
      <c r="Q270" s="43" t="s">
        <v>47</v>
      </c>
      <c r="R270" s="21"/>
      <c r="S270" s="21"/>
      <c r="T270" s="21"/>
      <c r="U270" s="38"/>
      <c r="AA270" s="20"/>
    </row>
    <row r="271" ht="22.5" customHeight="1">
      <c r="A271" s="38" t="s">
        <v>325</v>
      </c>
      <c r="B271" s="32"/>
      <c r="C271" s="32" t="str">
        <f t="array" ref="C271">IF(A271="","",_xlfn.XLOOKUP(A271,Catalogo_BR!$A$2:$A$277,Catalogo_BR!$B$2:$B$277,"",0))</f>
        <v>Jogos de Verão</v>
      </c>
      <c r="D271" s="32"/>
      <c r="E271" s="28" t="str">
        <f t="shared" si="1"/>
        <v>Não possuo</v>
      </c>
      <c r="F271" s="40" t="s">
        <v>53</v>
      </c>
      <c r="G271" s="41">
        <v>3.0</v>
      </c>
      <c r="H271" s="41">
        <v>5.0</v>
      </c>
      <c r="I271" s="42">
        <v>1989.0</v>
      </c>
      <c r="J271" s="41" t="s">
        <v>75</v>
      </c>
      <c r="K271" s="41" t="s">
        <v>76</v>
      </c>
      <c r="L271" s="41" t="s">
        <v>599</v>
      </c>
      <c r="M271" s="28" t="b">
        <v>0</v>
      </c>
      <c r="N271" s="28" t="b">
        <v>0</v>
      </c>
      <c r="O271" s="28" t="b">
        <v>0</v>
      </c>
      <c r="P271" s="42" t="b">
        <v>0</v>
      </c>
      <c r="Q271" s="43" t="s">
        <v>47</v>
      </c>
      <c r="R271" s="21"/>
      <c r="S271" s="21"/>
      <c r="T271" s="21"/>
      <c r="U271" s="38"/>
      <c r="AA271" s="20"/>
    </row>
    <row r="272" ht="22.5" customHeight="1">
      <c r="A272" s="38" t="s">
        <v>328</v>
      </c>
      <c r="B272" s="32"/>
      <c r="C272" s="32" t="str">
        <f t="array" ref="C272">IF(A272="","",_xlfn.XLOOKUP(A272,Catalogo_BR!$A$2:$A$277,Catalogo_BR!$B$2:$B$277,"",0))</f>
        <v>Jogos de Verão II</v>
      </c>
      <c r="D272" s="32"/>
      <c r="E272" s="28" t="str">
        <f t="shared" si="1"/>
        <v>Não possuo</v>
      </c>
      <c r="F272" s="40" t="s">
        <v>100</v>
      </c>
      <c r="G272" s="41">
        <v>3.0</v>
      </c>
      <c r="H272" s="41">
        <v>2.0</v>
      </c>
      <c r="I272" s="42">
        <v>1993.0</v>
      </c>
      <c r="J272" s="41" t="s">
        <v>75</v>
      </c>
      <c r="K272" s="41" t="s">
        <v>76</v>
      </c>
      <c r="L272" s="41" t="s">
        <v>599</v>
      </c>
      <c r="M272" s="28" t="b">
        <v>0</v>
      </c>
      <c r="N272" s="28" t="b">
        <v>0</v>
      </c>
      <c r="O272" s="28" t="b">
        <v>0</v>
      </c>
      <c r="P272" s="42" t="b">
        <v>0</v>
      </c>
      <c r="Q272" s="43" t="s">
        <v>47</v>
      </c>
      <c r="R272" s="21"/>
      <c r="S272" s="21"/>
      <c r="T272" s="21"/>
      <c r="U272" s="38"/>
      <c r="AA272" s="20"/>
    </row>
    <row r="273" ht="22.5" customHeight="1">
      <c r="A273" s="38" t="s">
        <v>332</v>
      </c>
      <c r="B273" s="32"/>
      <c r="C273" s="32" t="str">
        <f t="array" ref="C273">IF(A273="","",_xlfn.XLOOKUP(A273,Catalogo_BR!$A$2:$A$277,Catalogo_BR!$B$2:$B$277,"",0))</f>
        <v>Jurassic Park</v>
      </c>
      <c r="D273" s="32"/>
      <c r="E273" s="28" t="str">
        <f t="shared" si="1"/>
        <v>Não possuo</v>
      </c>
      <c r="F273" s="40" t="s">
        <v>100</v>
      </c>
      <c r="G273" s="41">
        <v>3.0</v>
      </c>
      <c r="H273" s="41">
        <v>3.0</v>
      </c>
      <c r="I273" s="42">
        <v>1993.0</v>
      </c>
      <c r="J273" s="41" t="s">
        <v>75</v>
      </c>
      <c r="K273" s="41" t="s">
        <v>76</v>
      </c>
      <c r="L273" s="41" t="s">
        <v>599</v>
      </c>
      <c r="M273" s="28" t="b">
        <v>0</v>
      </c>
      <c r="N273" s="28" t="b">
        <v>0</v>
      </c>
      <c r="O273" s="28" t="b">
        <v>0</v>
      </c>
      <c r="P273" s="42" t="b">
        <v>0</v>
      </c>
      <c r="Q273" s="43" t="s">
        <v>47</v>
      </c>
      <c r="R273" s="21"/>
      <c r="S273" s="21"/>
      <c r="T273" s="21"/>
      <c r="U273" s="38"/>
      <c r="AA273" s="20"/>
    </row>
    <row r="274" ht="22.5" customHeight="1">
      <c r="A274" s="38" t="s">
        <v>366</v>
      </c>
      <c r="B274" s="32"/>
      <c r="C274" s="32" t="str">
        <f t="array" ref="C274">IF(A274="","",_xlfn.XLOOKUP(A274,Catalogo_BR!$A$2:$A$277,Catalogo_BR!$B$2:$B$277,"",0))</f>
        <v>Missile Defense 3D</v>
      </c>
      <c r="D274" s="32"/>
      <c r="E274" s="28" t="str">
        <f t="shared" si="1"/>
        <v>Não possuo</v>
      </c>
      <c r="F274" s="40" t="s">
        <v>53</v>
      </c>
      <c r="G274" s="41">
        <v>3.0</v>
      </c>
      <c r="H274" s="41">
        <v>2.0</v>
      </c>
      <c r="I274" s="42">
        <v>1987.0</v>
      </c>
      <c r="J274" s="41" t="s">
        <v>75</v>
      </c>
      <c r="K274" s="41" t="s">
        <v>76</v>
      </c>
      <c r="L274" s="41" t="s">
        <v>599</v>
      </c>
      <c r="M274" s="28" t="b">
        <v>0</v>
      </c>
      <c r="N274" s="28" t="b">
        <v>0</v>
      </c>
      <c r="O274" s="28" t="b">
        <v>0</v>
      </c>
      <c r="P274" s="42" t="b">
        <v>0</v>
      </c>
      <c r="Q274" s="43" t="s">
        <v>47</v>
      </c>
      <c r="R274" s="21"/>
      <c r="S274" s="21"/>
      <c r="T274" s="21"/>
      <c r="U274" s="38"/>
      <c r="AA274" s="20"/>
    </row>
    <row r="275" ht="22.5" customHeight="1">
      <c r="A275" s="38" t="s">
        <v>374</v>
      </c>
      <c r="B275" s="32"/>
      <c r="C275" s="32" t="str">
        <f t="array" ref="C275">IF(A275="","",_xlfn.XLOOKUP(A275,Catalogo_BR!$A$2:$A$277,Catalogo_BR!$B$2:$B$277,"",0))</f>
        <v>Mortal Kombat</v>
      </c>
      <c r="D275" s="32"/>
      <c r="E275" s="28" t="str">
        <f t="shared" si="1"/>
        <v>Não possuo</v>
      </c>
      <c r="F275" s="40" t="s">
        <v>100</v>
      </c>
      <c r="G275" s="41">
        <v>3.0</v>
      </c>
      <c r="H275" s="41">
        <v>2.0</v>
      </c>
      <c r="I275" s="42">
        <v>1993.0</v>
      </c>
      <c r="J275" s="41" t="s">
        <v>75</v>
      </c>
      <c r="K275" s="41" t="s">
        <v>76</v>
      </c>
      <c r="L275" s="41" t="s">
        <v>599</v>
      </c>
      <c r="M275" s="28" t="b">
        <v>0</v>
      </c>
      <c r="N275" s="28" t="b">
        <v>0</v>
      </c>
      <c r="O275" s="28" t="b">
        <v>0</v>
      </c>
      <c r="P275" s="42" t="b">
        <v>0</v>
      </c>
      <c r="Q275" s="43" t="s">
        <v>47</v>
      </c>
      <c r="R275" s="21"/>
      <c r="S275" s="21"/>
      <c r="T275" s="21"/>
      <c r="U275" s="38"/>
      <c r="AA275" s="20"/>
    </row>
    <row r="276" ht="22.5" customHeight="1">
      <c r="A276" s="38" t="s">
        <v>376</v>
      </c>
      <c r="B276" s="32"/>
      <c r="C276" s="32" t="str">
        <f t="array" ref="C276">IF(A276="","",_xlfn.XLOOKUP(A276,Catalogo_BR!$A$2:$A$277,Catalogo_BR!$B$2:$B$277,"",0))</f>
        <v>Mortal Kombat 3</v>
      </c>
      <c r="D276" s="32"/>
      <c r="E276" s="28" t="str">
        <f t="shared" si="1"/>
        <v>Não possuo</v>
      </c>
      <c r="F276" s="40" t="s">
        <v>89</v>
      </c>
      <c r="G276" s="41">
        <v>3.0</v>
      </c>
      <c r="H276" s="41">
        <v>2.0</v>
      </c>
      <c r="I276" s="42">
        <v>1996.0</v>
      </c>
      <c r="J276" s="41" t="s">
        <v>75</v>
      </c>
      <c r="K276" s="41" t="s">
        <v>76</v>
      </c>
      <c r="L276" s="41" t="s">
        <v>599</v>
      </c>
      <c r="M276" s="28" t="b">
        <v>0</v>
      </c>
      <c r="N276" s="28" t="b">
        <v>0</v>
      </c>
      <c r="O276" s="28" t="b">
        <v>0</v>
      </c>
      <c r="P276" s="42" t="b">
        <v>0</v>
      </c>
      <c r="Q276" s="43" t="s">
        <v>47</v>
      </c>
      <c r="R276" s="21"/>
      <c r="S276" s="21"/>
      <c r="T276" s="21"/>
      <c r="U276" s="38"/>
      <c r="AA276" s="20"/>
    </row>
    <row r="277" ht="22.5" customHeight="1">
      <c r="A277" s="38" t="s">
        <v>378</v>
      </c>
      <c r="B277" s="32"/>
      <c r="C277" s="32" t="str">
        <f t="array" ref="C277">IF(A277="","",_xlfn.XLOOKUP(A277,Catalogo_BR!$A$2:$A$277,Catalogo_BR!$B$2:$B$277,"",0))</f>
        <v>Mortal Kombat II</v>
      </c>
      <c r="D277" s="32"/>
      <c r="E277" s="28" t="str">
        <f t="shared" si="1"/>
        <v>Não possuo</v>
      </c>
      <c r="F277" s="40" t="s">
        <v>100</v>
      </c>
      <c r="G277" s="41">
        <v>3.0</v>
      </c>
      <c r="H277" s="41">
        <v>2.0</v>
      </c>
      <c r="I277" s="42">
        <v>1994.0</v>
      </c>
      <c r="J277" s="41" t="s">
        <v>75</v>
      </c>
      <c r="K277" s="41" t="s">
        <v>76</v>
      </c>
      <c r="L277" s="41" t="s">
        <v>599</v>
      </c>
      <c r="M277" s="28" t="b">
        <v>0</v>
      </c>
      <c r="N277" s="28" t="b">
        <v>0</v>
      </c>
      <c r="O277" s="28" t="b">
        <v>0</v>
      </c>
      <c r="P277" s="42" t="b">
        <v>0</v>
      </c>
      <c r="Q277" s="43" t="s">
        <v>47</v>
      </c>
      <c r="R277" s="21"/>
      <c r="S277" s="21"/>
      <c r="T277" s="21"/>
      <c r="U277" s="38"/>
      <c r="AA277" s="20">
        <f>IFERROR(__xludf.DUMMYFUNCTION("COUNTUNIQUE(ARRAYFORMULA(IF(Catalogo_BR!A2:A296&lt;&gt;"""", REGEXEXTRACT(Catalogo_BR!A2:A296, ""-(\d+)-""), """")))"),245.0)</f>
        <v>245</v>
      </c>
    </row>
    <row r="278" ht="22.5" customHeight="1">
      <c r="A278" s="38" t="s">
        <v>390</v>
      </c>
      <c r="B278" s="32"/>
      <c r="C278" s="32" t="str">
        <f t="array" ref="C278">IF(A278="","",_xlfn.XLOOKUP(A278,Catalogo_BR!$A$2:$A$277,Catalogo_BR!$B$2:$B$277,"",0))</f>
        <v>Out Run</v>
      </c>
      <c r="D278" s="32"/>
      <c r="E278" s="28" t="str">
        <f t="shared" si="1"/>
        <v>Não possuo</v>
      </c>
      <c r="F278" s="40" t="s">
        <v>89</v>
      </c>
      <c r="G278" s="41">
        <v>3.0</v>
      </c>
      <c r="H278" s="41">
        <v>4.0</v>
      </c>
      <c r="I278" s="42">
        <v>1987.0</v>
      </c>
      <c r="J278" s="41" t="s">
        <v>75</v>
      </c>
      <c r="K278" s="41" t="s">
        <v>76</v>
      </c>
      <c r="L278" s="41" t="s">
        <v>599</v>
      </c>
      <c r="M278" s="28" t="b">
        <v>0</v>
      </c>
      <c r="N278" s="28" t="b">
        <v>0</v>
      </c>
      <c r="O278" s="28" t="b">
        <v>0</v>
      </c>
      <c r="P278" s="42" t="b">
        <v>0</v>
      </c>
      <c r="Q278" s="43" t="s">
        <v>47</v>
      </c>
      <c r="R278" s="21"/>
      <c r="S278" s="21"/>
      <c r="T278" s="21"/>
      <c r="U278" s="38" t="s">
        <v>290</v>
      </c>
      <c r="AA278" s="20"/>
    </row>
    <row r="279" ht="22.5" customHeight="1">
      <c r="A279" s="38" t="s">
        <v>431</v>
      </c>
      <c r="B279" s="32"/>
      <c r="C279" s="32" t="str">
        <f t="array" ref="C279">IF(A279="","",_xlfn.XLOOKUP(A279,Catalogo_BR!$A$2:$A$277,Catalogo_BR!$B$2:$B$277,"",0))</f>
        <v>Rambo III</v>
      </c>
      <c r="D279" s="32"/>
      <c r="E279" s="28" t="str">
        <f t="shared" si="1"/>
        <v>Não possuo</v>
      </c>
      <c r="F279" s="40" t="s">
        <v>53</v>
      </c>
      <c r="G279" s="41">
        <v>3.0</v>
      </c>
      <c r="H279" s="41">
        <v>3.0</v>
      </c>
      <c r="I279" s="42">
        <v>1988.0</v>
      </c>
      <c r="J279" s="41" t="s">
        <v>75</v>
      </c>
      <c r="K279" s="41" t="s">
        <v>76</v>
      </c>
      <c r="L279" s="41" t="s">
        <v>599</v>
      </c>
      <c r="M279" s="28" t="b">
        <v>0</v>
      </c>
      <c r="N279" s="28" t="b">
        <v>0</v>
      </c>
      <c r="O279" s="28" t="b">
        <v>0</v>
      </c>
      <c r="P279" s="42" t="b">
        <v>0</v>
      </c>
      <c r="Q279" s="43" t="s">
        <v>47</v>
      </c>
      <c r="R279" s="21"/>
      <c r="S279" s="21"/>
      <c r="T279" s="21"/>
      <c r="U279" s="38"/>
      <c r="AA279" s="20"/>
    </row>
    <row r="280" ht="22.5" customHeight="1">
      <c r="A280" s="38" t="s">
        <v>444</v>
      </c>
      <c r="B280" s="32"/>
      <c r="C280" s="32" t="str">
        <f t="array" ref="C280">IF(A280="","",_xlfn.XLOOKUP(A280,Catalogo_BR!$A$2:$A$277,Catalogo_BR!$B$2:$B$277,"",0))</f>
        <v>RoboCop versus The Terminator</v>
      </c>
      <c r="D280" s="32"/>
      <c r="E280" s="28" t="str">
        <f t="shared" si="1"/>
        <v>Não possuo</v>
      </c>
      <c r="F280" s="40" t="s">
        <v>100</v>
      </c>
      <c r="G280" s="41">
        <v>3.0</v>
      </c>
      <c r="H280" s="41">
        <v>3.0</v>
      </c>
      <c r="I280" s="42">
        <v>1993.0</v>
      </c>
      <c r="J280" s="41" t="s">
        <v>75</v>
      </c>
      <c r="K280" s="41" t="s">
        <v>76</v>
      </c>
      <c r="L280" s="41" t="s">
        <v>599</v>
      </c>
      <c r="M280" s="28" t="b">
        <v>0</v>
      </c>
      <c r="N280" s="28" t="b">
        <v>0</v>
      </c>
      <c r="O280" s="28" t="b">
        <v>0</v>
      </c>
      <c r="P280" s="42" t="b">
        <v>0</v>
      </c>
      <c r="Q280" s="43" t="s">
        <v>47</v>
      </c>
      <c r="R280" s="21"/>
      <c r="S280" s="21"/>
      <c r="T280" s="21"/>
      <c r="U280" s="38"/>
      <c r="AA280" s="20"/>
    </row>
    <row r="281" ht="22.5" customHeight="1">
      <c r="A281" s="38" t="s">
        <v>368</v>
      </c>
      <c r="B281" s="32"/>
      <c r="C281" s="32" t="str">
        <f t="array" ref="C281">IF(A281="","",_xlfn.XLOOKUP(A281,Catalogo_BR!$A$2:$A$277,Catalogo_BR!$B$2:$B$277,"",0))</f>
        <v>Missile Defense 3D</v>
      </c>
      <c r="D281" s="32"/>
      <c r="E281" s="28" t="str">
        <f t="shared" si="1"/>
        <v>Não possuo</v>
      </c>
      <c r="F281" s="40" t="s">
        <v>39</v>
      </c>
      <c r="G281" s="41">
        <v>3.0</v>
      </c>
      <c r="H281" s="41">
        <v>2.0</v>
      </c>
      <c r="I281" s="42">
        <v>1987.0</v>
      </c>
      <c r="J281" s="41" t="s">
        <v>75</v>
      </c>
      <c r="K281" s="41" t="s">
        <v>76</v>
      </c>
      <c r="L281" s="41" t="s">
        <v>253</v>
      </c>
      <c r="M281" s="28" t="b">
        <v>0</v>
      </c>
      <c r="N281" s="28" t="b">
        <v>0</v>
      </c>
      <c r="O281" s="28" t="b">
        <v>0</v>
      </c>
      <c r="P281" s="42" t="b">
        <v>0</v>
      </c>
      <c r="Q281" s="43" t="s">
        <v>47</v>
      </c>
      <c r="R281" s="21"/>
      <c r="S281" s="21"/>
      <c r="T281" s="21"/>
      <c r="U281" s="38"/>
      <c r="AA281" s="20"/>
    </row>
    <row r="282" ht="22.5" customHeight="1">
      <c r="A282" s="38" t="s">
        <v>482</v>
      </c>
      <c r="B282" s="32"/>
      <c r="C282" s="32" t="str">
        <f t="array" ref="C282">IF(A282="","",_xlfn.XLOOKUP(A282,Catalogo_BR!$A$2:$A$277,Catalogo_BR!$B$2:$B$277,"",0))</f>
        <v>Sonic The Hedgehog: Chaos</v>
      </c>
      <c r="D282" s="32"/>
      <c r="E282" s="28" t="str">
        <f t="shared" si="1"/>
        <v>Não possuo</v>
      </c>
      <c r="F282" s="40" t="s">
        <v>100</v>
      </c>
      <c r="G282" s="41">
        <v>3.0</v>
      </c>
      <c r="H282" s="41">
        <v>4.0</v>
      </c>
      <c r="I282" s="42">
        <v>1993.0</v>
      </c>
      <c r="J282" s="41" t="s">
        <v>75</v>
      </c>
      <c r="K282" s="41" t="s">
        <v>76</v>
      </c>
      <c r="L282" s="41" t="s">
        <v>599</v>
      </c>
      <c r="M282" s="28" t="b">
        <v>0</v>
      </c>
      <c r="N282" s="28" t="b">
        <v>0</v>
      </c>
      <c r="O282" s="28" t="b">
        <v>0</v>
      </c>
      <c r="P282" s="42" t="b">
        <v>0</v>
      </c>
      <c r="Q282" s="43" t="s">
        <v>47</v>
      </c>
      <c r="R282" s="21"/>
      <c r="S282" s="21"/>
      <c r="T282" s="21"/>
      <c r="U282" s="38"/>
      <c r="AA282" s="20"/>
    </row>
    <row r="283" ht="22.5" customHeight="1">
      <c r="A283" s="38" t="s">
        <v>495</v>
      </c>
      <c r="B283" s="32"/>
      <c r="C283" s="32" t="str">
        <f t="array" ref="C283">IF(A283="","",_xlfn.XLOOKUP(A283,Catalogo_BR!$A$2:$A$277,Catalogo_BR!$B$2:$B$277,"",0))</f>
        <v>Star Wars</v>
      </c>
      <c r="D283" s="32"/>
      <c r="E283" s="28" t="str">
        <f t="shared" si="1"/>
        <v>Não possuo</v>
      </c>
      <c r="F283" s="40" t="s">
        <v>100</v>
      </c>
      <c r="G283" s="41">
        <v>3.0</v>
      </c>
      <c r="H283" s="41">
        <v>3.0</v>
      </c>
      <c r="I283" s="42">
        <v>1993.0</v>
      </c>
      <c r="J283" s="41" t="s">
        <v>75</v>
      </c>
      <c r="K283" s="41" t="s">
        <v>76</v>
      </c>
      <c r="L283" s="41" t="s">
        <v>599</v>
      </c>
      <c r="M283" s="28" t="b">
        <v>0</v>
      </c>
      <c r="N283" s="28" t="b">
        <v>0</v>
      </c>
      <c r="O283" s="28" t="b">
        <v>0</v>
      </c>
      <c r="P283" s="42" t="b">
        <v>0</v>
      </c>
      <c r="Q283" s="43" t="s">
        <v>47</v>
      </c>
      <c r="R283" s="21"/>
      <c r="S283" s="21"/>
      <c r="T283" s="21"/>
      <c r="U283" s="38"/>
      <c r="AA283" s="20"/>
    </row>
    <row r="284" ht="22.5" customHeight="1">
      <c r="A284" s="38" t="s">
        <v>478</v>
      </c>
      <c r="B284" s="32"/>
      <c r="C284" s="32" t="str">
        <f t="array" ref="C284">IF(A284="","",_xlfn.XLOOKUP(A284,Catalogo_BR!$A$2:$A$277,Catalogo_BR!$B$2:$B$277,"",0))</f>
        <v>Sonic The Hedgehog</v>
      </c>
      <c r="D284" s="32"/>
      <c r="E284" s="28" t="str">
        <f t="shared" si="1"/>
        <v>Não possuo</v>
      </c>
      <c r="F284" s="40" t="s">
        <v>39</v>
      </c>
      <c r="G284" s="41">
        <v>3.0</v>
      </c>
      <c r="H284" s="41">
        <v>5.0</v>
      </c>
      <c r="I284" s="42">
        <v>1991.0</v>
      </c>
      <c r="J284" s="41" t="s">
        <v>75</v>
      </c>
      <c r="K284" s="41" t="s">
        <v>76</v>
      </c>
      <c r="L284" s="41" t="s">
        <v>599</v>
      </c>
      <c r="M284" s="28" t="b">
        <v>0</v>
      </c>
      <c r="N284" s="28" t="b">
        <v>0</v>
      </c>
      <c r="O284" s="28" t="b">
        <v>0</v>
      </c>
      <c r="P284" s="42" t="b">
        <v>0</v>
      </c>
      <c r="Q284" s="43" t="s">
        <v>47</v>
      </c>
      <c r="R284" s="21"/>
      <c r="S284" s="21"/>
      <c r="T284" s="21"/>
      <c r="U284" s="38"/>
      <c r="AA284" s="20"/>
    </row>
    <row r="285" ht="22.5" customHeight="1">
      <c r="A285" s="38" t="s">
        <v>92</v>
      </c>
      <c r="B285" s="32"/>
      <c r="C285" s="32" t="str">
        <f t="array" ref="C285">IF(A285="","",_xlfn.XLOOKUP(A285,Catalogo_BR!$A$2:$A$277,Catalogo_BR!$B$2:$B$277,"",0))</f>
        <v>Altered Beast</v>
      </c>
      <c r="D285" s="32"/>
      <c r="E285" s="28" t="str">
        <f t="shared" si="1"/>
        <v>Não possuo</v>
      </c>
      <c r="F285" s="40" t="s">
        <v>39</v>
      </c>
      <c r="G285" s="41">
        <v>3.0</v>
      </c>
      <c r="H285" s="41">
        <v>3.0</v>
      </c>
      <c r="I285" s="42">
        <v>1989.0</v>
      </c>
      <c r="J285" s="41" t="s">
        <v>46</v>
      </c>
      <c r="K285" s="41" t="s">
        <v>76</v>
      </c>
      <c r="L285" s="41" t="s">
        <v>599</v>
      </c>
      <c r="M285" s="28" t="b">
        <v>0</v>
      </c>
      <c r="N285" s="28" t="b">
        <v>0</v>
      </c>
      <c r="O285" s="28" t="b">
        <v>0</v>
      </c>
      <c r="P285" s="42" t="b">
        <v>0</v>
      </c>
      <c r="Q285" s="43" t="s">
        <v>47</v>
      </c>
      <c r="R285" s="21"/>
      <c r="S285" s="21"/>
      <c r="T285" s="21"/>
      <c r="U285" s="38"/>
      <c r="AA285" s="20"/>
    </row>
    <row r="286" ht="22.5" customHeight="1">
      <c r="A286" s="38" t="s">
        <v>516</v>
      </c>
      <c r="B286" s="32"/>
      <c r="C286" s="32" t="str">
        <f t="array" ref="C286">IF(A286="","",_xlfn.XLOOKUP(A286,Catalogo_BR!$A$2:$A$277,Catalogo_BR!$B$2:$B$277,"",0))</f>
        <v>Super Mônaco GP</v>
      </c>
      <c r="D286" s="32"/>
      <c r="E286" s="28" t="str">
        <f t="shared" si="1"/>
        <v>Não possuo</v>
      </c>
      <c r="F286" s="40" t="s">
        <v>89</v>
      </c>
      <c r="G286" s="41">
        <v>3.0</v>
      </c>
      <c r="H286" s="41">
        <v>4.0</v>
      </c>
      <c r="I286" s="42">
        <v>1990.0</v>
      </c>
      <c r="J286" s="41" t="s">
        <v>75</v>
      </c>
      <c r="K286" s="41" t="s">
        <v>76</v>
      </c>
      <c r="L286" s="41" t="s">
        <v>599</v>
      </c>
      <c r="M286" s="28" t="b">
        <v>0</v>
      </c>
      <c r="N286" s="28" t="b">
        <v>0</v>
      </c>
      <c r="O286" s="28" t="b">
        <v>0</v>
      </c>
      <c r="P286" s="42" t="b">
        <v>0</v>
      </c>
      <c r="Q286" s="43" t="s">
        <v>47</v>
      </c>
      <c r="R286" s="21"/>
      <c r="S286" s="21"/>
      <c r="T286" s="21"/>
      <c r="U286" s="38"/>
      <c r="AA286" s="20"/>
    </row>
    <row r="287" ht="22.5" customHeight="1">
      <c r="A287" s="38" t="s">
        <v>521</v>
      </c>
      <c r="B287" s="32"/>
      <c r="C287" s="32" t="str">
        <f t="array" ref="C287">IF(A287="","",_xlfn.XLOOKUP(A287,Catalogo_BR!$A$2:$A$277,Catalogo_BR!$B$2:$B$277,"",0))</f>
        <v>Superman: The Man of Steel</v>
      </c>
      <c r="D287" s="32"/>
      <c r="E287" s="28" t="str">
        <f t="shared" si="1"/>
        <v>Não possuo</v>
      </c>
      <c r="F287" s="40" t="s">
        <v>100</v>
      </c>
      <c r="G287" s="41">
        <v>3.0</v>
      </c>
      <c r="H287" s="41">
        <v>3.0</v>
      </c>
      <c r="I287" s="42">
        <v>1993.0</v>
      </c>
      <c r="J287" s="41" t="s">
        <v>75</v>
      </c>
      <c r="K287" s="41" t="s">
        <v>76</v>
      </c>
      <c r="L287" s="41" t="s">
        <v>599</v>
      </c>
      <c r="M287" s="28" t="b">
        <v>0</v>
      </c>
      <c r="N287" s="28" t="b">
        <v>0</v>
      </c>
      <c r="O287" s="28" t="b">
        <v>0</v>
      </c>
      <c r="P287" s="42" t="b">
        <v>0</v>
      </c>
      <c r="Q287" s="43" t="s">
        <v>47</v>
      </c>
      <c r="R287" s="21"/>
      <c r="S287" s="21"/>
      <c r="T287" s="21"/>
      <c r="U287" s="38"/>
      <c r="AA287" s="20"/>
    </row>
    <row r="288" ht="22.5" customHeight="1">
      <c r="A288" s="38" t="s">
        <v>529</v>
      </c>
      <c r="B288" s="32"/>
      <c r="C288" s="32" t="str">
        <f t="array" ref="C288">IF(A288="","",_xlfn.XLOOKUP(A288,Catalogo_BR!$A$2:$A$277,Catalogo_BR!$B$2:$B$277,"",0))</f>
        <v>The Flash</v>
      </c>
      <c r="D288" s="32"/>
      <c r="E288" s="28" t="str">
        <f t="shared" si="1"/>
        <v>Não possuo</v>
      </c>
      <c r="F288" s="40" t="s">
        <v>100</v>
      </c>
      <c r="G288" s="41">
        <v>3.0</v>
      </c>
      <c r="H288" s="41">
        <v>3.0</v>
      </c>
      <c r="I288" s="42">
        <v>1993.0</v>
      </c>
      <c r="J288" s="41" t="s">
        <v>75</v>
      </c>
      <c r="K288" s="41" t="s">
        <v>76</v>
      </c>
      <c r="L288" s="41" t="s">
        <v>599</v>
      </c>
      <c r="M288" s="28" t="b">
        <v>0</v>
      </c>
      <c r="N288" s="28" t="b">
        <v>0</v>
      </c>
      <c r="O288" s="28" t="b">
        <v>0</v>
      </c>
      <c r="P288" s="42" t="b">
        <v>0</v>
      </c>
      <c r="Q288" s="43" t="s">
        <v>47</v>
      </c>
      <c r="R288" s="21"/>
      <c r="S288" s="21"/>
      <c r="T288" s="21"/>
      <c r="U288" s="38"/>
      <c r="AA288" s="20"/>
    </row>
    <row r="289" ht="22.5" customHeight="1">
      <c r="A289" s="38" t="s">
        <v>535</v>
      </c>
      <c r="B289" s="32"/>
      <c r="C289" s="32" t="str">
        <f t="array" ref="C289">IF(A289="","",_xlfn.XLOOKUP(A289,Catalogo_BR!$A$2:$A$277,Catalogo_BR!$B$2:$B$277,"",0))</f>
        <v>The Jungle Book</v>
      </c>
      <c r="D289" s="32"/>
      <c r="E289" s="28" t="str">
        <f t="shared" si="1"/>
        <v>Não possuo</v>
      </c>
      <c r="F289" s="40" t="s">
        <v>100</v>
      </c>
      <c r="G289" s="41">
        <v>3.0</v>
      </c>
      <c r="H289" s="41">
        <v>3.0</v>
      </c>
      <c r="I289" s="42">
        <v>1994.0</v>
      </c>
      <c r="J289" s="41" t="s">
        <v>75</v>
      </c>
      <c r="K289" s="41" t="s">
        <v>76</v>
      </c>
      <c r="L289" s="41" t="s">
        <v>599</v>
      </c>
      <c r="M289" s="28" t="b">
        <v>0</v>
      </c>
      <c r="N289" s="28" t="b">
        <v>0</v>
      </c>
      <c r="O289" s="28" t="b">
        <v>0</v>
      </c>
      <c r="P289" s="42" t="b">
        <v>0</v>
      </c>
      <c r="Q289" s="43" t="s">
        <v>47</v>
      </c>
      <c r="R289" s="21"/>
      <c r="S289" s="21"/>
      <c r="T289" s="21"/>
      <c r="U289" s="38"/>
      <c r="AA289" s="20"/>
    </row>
    <row r="290" ht="22.5" customHeight="1">
      <c r="A290" s="38" t="s">
        <v>400</v>
      </c>
      <c r="B290" s="32"/>
      <c r="C290" s="32" t="str">
        <f t="array" ref="C290">IF(A290="","",_xlfn.XLOOKUP(A290,Catalogo_BR!$A$2:$A$277,Catalogo_BR!$B$2:$B$277,"",0))</f>
        <v>Paper Boy</v>
      </c>
      <c r="D290" s="32"/>
      <c r="E290" s="28" t="str">
        <f t="shared" si="1"/>
        <v>Não possuo</v>
      </c>
      <c r="F290" s="40" t="s">
        <v>39</v>
      </c>
      <c r="G290" s="41">
        <v>3.0</v>
      </c>
      <c r="H290" s="41">
        <v>3.0</v>
      </c>
      <c r="I290" s="42">
        <v>1990.0</v>
      </c>
      <c r="J290" s="41" t="s">
        <v>75</v>
      </c>
      <c r="K290" s="41" t="s">
        <v>76</v>
      </c>
      <c r="L290" s="41" t="s">
        <v>599</v>
      </c>
      <c r="M290" s="28" t="b">
        <v>0</v>
      </c>
      <c r="N290" s="28" t="b">
        <v>0</v>
      </c>
      <c r="O290" s="28" t="b">
        <v>0</v>
      </c>
      <c r="P290" s="42" t="b">
        <v>0</v>
      </c>
      <c r="Q290" s="43" t="s">
        <v>47</v>
      </c>
      <c r="R290" s="21"/>
      <c r="S290" s="21"/>
      <c r="T290" s="21"/>
      <c r="U290" s="38"/>
      <c r="AA290" s="20"/>
    </row>
    <row r="291" ht="22.5" customHeight="1">
      <c r="A291" s="38" t="s">
        <v>559</v>
      </c>
      <c r="B291" s="32"/>
      <c r="C291" s="32" t="str">
        <f t="array" ref="C291">IF(A291="","",_xlfn.XLOOKUP(A291,Catalogo_BR!$A$2:$A$277,Catalogo_BR!$B$2:$B$277,"",0))</f>
        <v>Tom and Jerry: The Movie</v>
      </c>
      <c r="D291" s="32"/>
      <c r="E291" s="28" t="str">
        <f t="shared" si="1"/>
        <v>Não possuo</v>
      </c>
      <c r="F291" s="40" t="s">
        <v>39</v>
      </c>
      <c r="G291" s="41">
        <v>3.0</v>
      </c>
      <c r="H291" s="41">
        <v>3.0</v>
      </c>
      <c r="I291" s="42">
        <v>1992.0</v>
      </c>
      <c r="J291" s="41" t="s">
        <v>75</v>
      </c>
      <c r="K291" s="41" t="s">
        <v>76</v>
      </c>
      <c r="L291" s="41" t="s">
        <v>599</v>
      </c>
      <c r="M291" s="28" t="b">
        <v>0</v>
      </c>
      <c r="N291" s="28" t="b">
        <v>0</v>
      </c>
      <c r="O291" s="28" t="b">
        <v>0</v>
      </c>
      <c r="P291" s="42" t="b">
        <v>0</v>
      </c>
      <c r="Q291" s="43" t="s">
        <v>47</v>
      </c>
      <c r="R291" s="21"/>
      <c r="S291" s="21"/>
      <c r="T291" s="21"/>
      <c r="U291" s="38"/>
      <c r="AA291" s="20"/>
    </row>
    <row r="292" ht="22.5" customHeight="1">
      <c r="A292" s="38" t="s">
        <v>566</v>
      </c>
      <c r="B292" s="32"/>
      <c r="C292" s="32" t="str">
        <f t="array" ref="C292">IF(A292="","",_xlfn.XLOOKUP(A292,Catalogo_BR!$A$2:$A$277,Catalogo_BR!$B$2:$B$277,"",0))</f>
        <v>Vigilante</v>
      </c>
      <c r="D292" s="32"/>
      <c r="E292" s="28" t="str">
        <f t="shared" si="1"/>
        <v>Não possuo</v>
      </c>
      <c r="F292" s="40" t="s">
        <v>53</v>
      </c>
      <c r="G292" s="41">
        <v>3.0</v>
      </c>
      <c r="H292" s="41">
        <v>3.0</v>
      </c>
      <c r="I292" s="42">
        <v>1989.0</v>
      </c>
      <c r="J292" s="41" t="s">
        <v>75</v>
      </c>
      <c r="K292" s="41" t="s">
        <v>76</v>
      </c>
      <c r="L292" s="41" t="s">
        <v>599</v>
      </c>
      <c r="M292" s="28" t="b">
        <v>0</v>
      </c>
      <c r="N292" s="28" t="b">
        <v>0</v>
      </c>
      <c r="O292" s="28" t="b">
        <v>0</v>
      </c>
      <c r="P292" s="42" t="b">
        <v>0</v>
      </c>
      <c r="Q292" s="43" t="s">
        <v>47</v>
      </c>
      <c r="R292" s="21"/>
      <c r="S292" s="21"/>
      <c r="T292" s="21"/>
      <c r="U292" s="38"/>
      <c r="AA292" s="20"/>
    </row>
    <row r="293" ht="22.5" customHeight="1">
      <c r="A293" s="38" t="s">
        <v>128</v>
      </c>
      <c r="B293" s="32"/>
      <c r="C293" s="32" t="str">
        <f t="array" ref="C293">IF(A293="","",_xlfn.XLOOKUP(A293,Catalogo_BR!$A$2:$A$277,Catalogo_BR!$B$2:$B$277,"",0))</f>
        <v>Back to the Future II</v>
      </c>
      <c r="D293" s="32"/>
      <c r="E293" s="28" t="str">
        <f t="shared" si="1"/>
        <v>Não possuo</v>
      </c>
      <c r="F293" s="40" t="s">
        <v>39</v>
      </c>
      <c r="G293" s="41">
        <v>3.0</v>
      </c>
      <c r="H293" s="41">
        <v>2.0</v>
      </c>
      <c r="I293" s="42">
        <v>1991.0</v>
      </c>
      <c r="J293" s="41" t="s">
        <v>75</v>
      </c>
      <c r="K293" s="41" t="s">
        <v>76</v>
      </c>
      <c r="L293" s="41" t="s">
        <v>599</v>
      </c>
      <c r="M293" s="28" t="b">
        <v>0</v>
      </c>
      <c r="N293" s="28" t="b">
        <v>0</v>
      </c>
      <c r="O293" s="28" t="b">
        <v>0</v>
      </c>
      <c r="P293" s="42" t="b">
        <v>0</v>
      </c>
      <c r="Q293" s="43" t="s">
        <v>47</v>
      </c>
      <c r="R293" s="21"/>
      <c r="S293" s="21"/>
      <c r="T293" s="21"/>
      <c r="U293" s="38"/>
      <c r="AA293" s="20"/>
    </row>
    <row r="294" ht="22.5" customHeight="1">
      <c r="A294" s="38" t="s">
        <v>583</v>
      </c>
      <c r="B294" s="32"/>
      <c r="C294" s="32" t="str">
        <f t="array" ref="C294">IF(A294="","",_xlfn.XLOOKUP(A294,Catalogo_BR!$A$2:$A$277,Catalogo_BR!$B$2:$B$277,"",0))</f>
        <v>World Cup USA 94</v>
      </c>
      <c r="D294" s="32"/>
      <c r="E294" s="28" t="str">
        <f t="shared" si="1"/>
        <v>Não possuo</v>
      </c>
      <c r="F294" s="40" t="s">
        <v>100</v>
      </c>
      <c r="G294" s="41">
        <v>3.0</v>
      </c>
      <c r="H294" s="41">
        <v>2.0</v>
      </c>
      <c r="I294" s="42">
        <v>1994.0</v>
      </c>
      <c r="J294" s="41" t="s">
        <v>75</v>
      </c>
      <c r="K294" s="41" t="s">
        <v>76</v>
      </c>
      <c r="L294" s="41" t="s">
        <v>599</v>
      </c>
      <c r="M294" s="28" t="b">
        <v>0</v>
      </c>
      <c r="N294" s="28" t="b">
        <v>0</v>
      </c>
      <c r="O294" s="28" t="b">
        <v>0</v>
      </c>
      <c r="P294" s="42" t="b">
        <v>0</v>
      </c>
      <c r="Q294" s="43" t="s">
        <v>47</v>
      </c>
      <c r="R294" s="21"/>
      <c r="S294" s="21"/>
      <c r="T294" s="21"/>
      <c r="U294" s="38"/>
      <c r="AA294" s="20"/>
    </row>
    <row r="295" ht="22.5" customHeight="1">
      <c r="A295" s="38" t="s">
        <v>513</v>
      </c>
      <c r="B295" s="32"/>
      <c r="C295" s="32" t="str">
        <f t="array" ref="C295">IF(A295="","",_xlfn.XLOOKUP(A295,Catalogo_BR!$A$2:$A$277,Catalogo_BR!$B$2:$B$277,"",0))</f>
        <v>Super Futebol II</v>
      </c>
      <c r="D295" s="32"/>
      <c r="E295" s="28" t="str">
        <f t="shared" si="1"/>
        <v>Não possuo</v>
      </c>
      <c r="F295" s="40" t="s">
        <v>39</v>
      </c>
      <c r="G295" s="41">
        <v>3.0</v>
      </c>
      <c r="H295" s="41">
        <v>2.0</v>
      </c>
      <c r="I295" s="42">
        <v>1990.0</v>
      </c>
      <c r="J295" s="41" t="s">
        <v>75</v>
      </c>
      <c r="K295" s="41" t="s">
        <v>76</v>
      </c>
      <c r="L295" s="41" t="s">
        <v>599</v>
      </c>
      <c r="M295" s="28" t="b">
        <v>0</v>
      </c>
      <c r="N295" s="28" t="b">
        <v>0</v>
      </c>
      <c r="O295" s="28" t="b">
        <v>0</v>
      </c>
      <c r="P295" s="42" t="b">
        <v>0</v>
      </c>
      <c r="Q295" s="43" t="s">
        <v>47</v>
      </c>
      <c r="R295" s="21"/>
      <c r="S295" s="21"/>
      <c r="T295" s="21"/>
      <c r="U295" s="38"/>
      <c r="AA295" s="20"/>
    </row>
    <row r="296" ht="22.5" customHeight="1">
      <c r="A296" s="74" t="s">
        <v>514</v>
      </c>
      <c r="B296" s="45"/>
      <c r="C296" s="45" t="str">
        <f t="array" ref="C296">IF(A296="","",_xlfn.XLOOKUP(A296,Catalogo_BR!$A$2:$A$277,Catalogo_BR!$B$2:$B$277,"",0))</f>
        <v>Super Kick Off</v>
      </c>
      <c r="D296" s="45"/>
      <c r="E296" s="75" t="str">
        <f t="shared" si="1"/>
        <v>Não possuo</v>
      </c>
      <c r="F296" s="76" t="s">
        <v>39</v>
      </c>
      <c r="G296" s="77">
        <v>3.0</v>
      </c>
      <c r="H296" s="77">
        <v>1.0</v>
      </c>
      <c r="I296" s="78">
        <v>1991.0</v>
      </c>
      <c r="J296" s="77" t="s">
        <v>75</v>
      </c>
      <c r="K296" s="77" t="s">
        <v>76</v>
      </c>
      <c r="L296" s="77" t="s">
        <v>599</v>
      </c>
      <c r="M296" s="75" t="b">
        <v>0</v>
      </c>
      <c r="N296" s="75" t="b">
        <v>0</v>
      </c>
      <c r="O296" s="75" t="b">
        <v>0</v>
      </c>
      <c r="P296" s="78" t="b">
        <v>0</v>
      </c>
      <c r="Q296" s="79" t="s">
        <v>47</v>
      </c>
      <c r="R296" s="46"/>
      <c r="S296" s="46"/>
      <c r="T296" s="46"/>
      <c r="U296" s="74"/>
      <c r="AA296" s="20"/>
    </row>
  </sheetData>
  <customSheetViews>
    <customSheetView guid="{A20F479F-4352-463B-81B4-693294FBEBEC}" filter="1" showAutoFilter="1">
      <autoFilter ref="$A$2:$U$296">
        <filterColumn colId="5">
          <filters>
            <filter val="GG"/>
          </filters>
        </filterColumn>
        <filterColumn colId="4">
          <filters blank="1">
            <filter val="Não possuo"/>
          </filters>
        </filterColumn>
        <filterColumn colId="0">
          <filters blank="1">
            <filter val="BR-063-AZ"/>
            <filter val="BR-129-GG"/>
            <filter val="BR-238-GG"/>
            <filter val="BR-051-CP"/>
            <filter val="BR-052-AB"/>
            <filter val="BR-184-AB"/>
            <filter val="BR-050-GG"/>
            <filter val="BR-182-GG"/>
            <filter val="BR-143-AZ"/>
            <filter val="BR-090-GG"/>
            <filter val="BR-130-GG"/>
            <filter val="BR-193-GP"/>
            <filter val="BR-096-GG"/>
            <filter val="BR-228-AZ"/>
            <filter val="BR-212-AB"/>
            <filter val="BR-004-CP"/>
            <filter val="BR-046-AB"/>
            <filter val="BR-153-GG"/>
            <filter val="BR-147-GG"/>
            <filter val="BR-061-GG"/>
            <filter val="BR-101-GG"/>
            <filter val="BR-132-AZ"/>
            <filter val="BR-003-GG"/>
            <filter val="BR-125-AZ"/>
            <filter val="BR-038-GG"/>
            <filter val="BR-112-GG"/>
            <filter val="BR-045-CP"/>
            <filter val="BR-062-CP"/>
            <filter val="BR-016-AZ"/>
            <filter val="BR-211-AB"/>
            <filter val="BR-152-GG"/>
            <filter val="BR-177-AB"/>
            <filter val="BR-154-AB"/>
            <filter val="BR-148-AB"/>
            <filter val="BR-014-GG"/>
            <filter val="BR-108-CP"/>
            <filter val="BR-196-AB"/>
            <filter val="BR-227-CP"/>
            <filter val="BR-091-CP"/>
            <filter val="BR-057-CP"/>
            <filter val="BR-058-AB"/>
            <filter val="BR-074-AZ"/>
            <filter val="BR-188-GG"/>
            <filter val="BR-035-AB"/>
            <filter val="BR-027-GG"/>
            <filter val="BR-153-CP"/>
            <filter val="BR-008-GG"/>
            <filter val="BR-120-CP"/>
            <filter val="BR-176-CP"/>
            <filter val="BR-171-AZ"/>
            <filter val="BR-205-AZ"/>
            <filter val="BR-019-GG"/>
            <filter val="BR-069-AB"/>
            <filter val="BR-124-GG"/>
            <filter val="BR-142-CP"/>
            <filter val="BR-082-MG"/>
            <filter val="BR-109-AB"/>
            <filter val="BR-025-GG"/>
            <filter val="BR-086-AB"/>
            <filter val="BR-107-GG"/>
            <filter val="BR-239-AB"/>
            <filter val="BR-237-GG"/>
            <filter val="BR-041-AZ"/>
            <filter val="BR-141-GG"/>
            <filter val="BR-135-GG"/>
            <filter val="BR-118-GG"/>
            <filter val="BR-185-AB"/>
            <filter val="BR-238-CP"/>
            <filter val="BR-183-GG"/>
            <filter val="BR-009-CP"/>
            <filter val="BR-095-GG"/>
            <filter val="BR-078-GG"/>
            <filter val="BR-244-CP"/>
            <filter val="BR-112-CP"/>
            <filter val="BR-068-GG"/>
            <filter val="BR-236-AB"/>
            <filter val="BR-097-GP"/>
            <filter val="BR-093-CP"/>
            <filter val="BR-070-CP"/>
            <filter val="BR-165-AB"/>
            <filter val="BR-191-AB"/>
            <filter val="BR-002-GG"/>
            <filter val="BR-134-GG"/>
            <filter val="BR-243-GG"/>
            <filter val="BR-113-AB"/>
            <filter val="BR-174-GP"/>
            <filter val="BR-021-AB"/>
            <filter val="BR-015-AB"/>
            <filter val="BR-013-GG"/>
            <filter val="BR-130-CP"/>
            <filter val="BR-195-GG"/>
            <filter val="BR-098-CP"/>
            <filter val="BR-026-AZ"/>
            <filter val="BR-200-GG"/>
            <filter val="BR-028-GG"/>
            <filter val="BR-034-GG"/>
            <filter val="BR-229-CP"/>
            <filter val="BR-053-AB"/>
            <filter val="BR-123-CP"/>
            <filter val="BR-007-GG"/>
            <filter val="BR-168-GG"/>
            <filter val="BR-131-AB"/>
            <filter val="BR-158-CP"/>
            <filter val="BR-030-CP"/>
            <filter val="BR-170-AZ"/>
            <filter val="BR-065-AZ"/>
            <filter val="BR-156-GG"/>
            <filter val="BR-087-AB"/>
            <filter val="BR-230-AB"/>
            <filter val="BR-085-GG"/>
            <filter val="BR-200-CP"/>
            <filter val="BR-117-GG"/>
            <filter val="BR-240-AZ"/>
            <filter val="BR-164-AZ"/>
            <filter val="BR-008-CP"/>
            <filter val="BR-224-AB"/>
            <filter val="BR-222-GG"/>
            <filter val="BR-128-GG"/>
            <filter val="BR-216-GG"/>
            <filter val="BR-192-AZ"/>
            <filter val="BR-245-CU"/>
            <filter val="BR-218-AB"/>
            <filter val="BR-234-CP"/>
            <filter val="BR-146-CP"/>
            <filter val="BR-190-GG"/>
            <filter val="BR-227-GG"/>
            <filter val="BR-059-AB"/>
            <filter val="BR-031-AZ"/>
            <filter val="BR-064-CP"/>
            <filter val="BR-020-AB"/>
            <filter val="BR-093-GG"/>
            <filter val="BR-066-AB"/>
            <filter val="BR-173-GG"/>
            <filter val="BR-139-CP"/>
            <filter val="BR-007-CP"/>
            <filter val="BR-175-AB"/>
            <filter val="BR-064-GG"/>
            <filter val="BR-157-AZ"/>
            <filter val="BR-232-AB"/>
            <filter val="BR-042-CP"/>
            <filter val="BR-167-GG"/>
            <filter val="BR-079-MG"/>
            <filter val="BR-013-CP"/>
            <filter val="BR-012-GG"/>
            <filter val="BR-151-CP"/>
            <filter val="BR-006-GG"/>
            <filter val="BR-115-GP"/>
            <filter val="BR-169-AB"/>
            <filter val="BR-072-AZ"/>
            <filter val="BR-226-AB"/>
            <filter val="BR-201-GG"/>
            <filter val="BR-029-GP"/>
            <filter val="BR-181-AZ"/>
            <filter val="BR-037-AZ"/>
            <filter val="BR-126-GG"/>
            <filter val="BR-186-CP"/>
            <filter val="BR-178-GG"/>
            <filter val="BR-140-CP"/>
            <filter val="BR-023-GG"/>
            <filter val="BR-235-GP"/>
            <filter val="BR-161-GP"/>
            <filter val="BR-080-MG"/>
            <filter val="BR-018-CP"/>
            <filter val="BR-024-CP"/>
            <filter val="BR-076-GG"/>
            <filter val="BR-127-GG"/>
            <filter val="BR-162-CP"/>
            <filter val="BR-013-AZ"/>
            <filter val="BR-104-GG"/>
            <filter val="BR-099-CP"/>
            <filter val="BR-202-AZ"/>
            <filter val="BR-139-AZ"/>
            <filter val="BR-217-GG"/>
            <filter val="BR-047-GG"/>
            <filter val="BR-049-AB"/>
            <filter val="BR-128-CP"/>
            <filter val="BR-163-AB"/>
            <filter val="BR-075-GG"/>
            <filter val="BR-220-AB"/>
            <filter val="BR-044-AB"/>
            <filter val="BR-172-GG"/>
            <filter val="BR-071-CP"/>
            <filter val="BR-092-GP"/>
            <filter val="BR-179-AZ"/>
            <filter val="BR-197-GG"/>
            <filter val="BR-180-GP"/>
            <filter val="BR-149-GP"/>
            <filter val="BR-121-GP"/>
            <filter val="BR-055-AB"/>
            <filter val="BR-106-AZ"/>
            <filter val="BR-011-GG"/>
            <filter val="BR-219-AZ"/>
            <filter val="BR-005-GG"/>
            <filter val="BR-206-GP"/>
            <filter val="BR-110-GG"/>
            <filter val="BR-036-GG"/>
            <filter val="BR-156-CP"/>
            <filter val="BR-100-CU"/>
            <filter val="BR-198-CP"/>
            <filter val="BR-208-AB"/>
            <filter val="BR-223-GG"/>
            <filter val="BR-102-GG"/>
            <filter val="BR-078-CP"/>
            <filter val="BR-221-CP"/>
            <filter val="BR-177-GG"/>
            <filter val="BR-022-GG"/>
            <filter val="BR-032-CP"/>
            <filter val="BR-194-AB"/>
            <filter val="BR-081-MG"/>
            <filter val="BR-067-AZ"/>
            <filter val="BR-083-GG"/>
            <filter val="BR-090-CP"/>
            <filter val="BR-054-GG"/>
            <filter val="BR-209-CP"/>
            <filter val="BR-119-GG"/>
            <filter val="BR-231-GP"/>
            <filter val="BR-084-CP"/>
            <filter val="BR-155-CP"/>
            <filter val="BR-077-GG"/>
            <filter val="BR-138-CP"/>
            <filter val="BR-214-GP"/>
            <filter val="BR-145-AB"/>
            <filter val="BR-048-GG"/>
            <filter val="BR-233-AB"/>
            <filter val="BR-160-GG"/>
            <filter val="BR-143-GG"/>
            <filter val="BR-137-GG"/>
            <filter val="BR-104-AZ"/>
            <filter val="BR-225-GG"/>
            <filter val="BR-090-AZ"/>
            <filter val="BR-150-AB"/>
            <filter val="BR-242-CP"/>
            <filter val="BR-084-AZ"/>
            <filter val="BR-108-GG"/>
            <filter val="BR-116-AZ"/>
            <filter val="BR-166-CP"/>
            <filter val="BR-038-CP"/>
            <filter val="BR-213-GG"/>
            <filter val="BR-215-AB"/>
            <filter val="BR-136-GG"/>
            <filter val="BR-004-GG"/>
            <filter val="BR-010-GG"/>
            <filter val="BR-142-GG"/>
            <filter val="BR-159-GG"/>
            <filter val="BR-144-AB"/>
            <filter val="BR-241-GG"/>
            <filter val="BR-039-AB"/>
            <filter val="BR-207-GG"/>
            <filter val="BR-094-GG"/>
            <filter val="BR-199-CP"/>
            <filter val="BR-111-AB"/>
            <filter val="BR-017-AZ"/>
            <filter val="BR-103-GG"/>
            <filter val="BR-176-GG"/>
            <filter val="BR-210-AB"/>
            <filter val="BR-040-AB"/>
            <filter val="BR-122-AB"/>
            <filter val="BR-203-CP"/>
            <filter val="BR-033-CP"/>
            <filter val="BR-105-AB"/>
            <filter val="BR-088-GG"/>
            <filter val="BR-187-GG"/>
            <filter val="BR-114-GG"/>
            <filter val="BR-089-CP"/>
            <filter val="BR-073-AZ"/>
            <filter val="BR-189-AB"/>
            <filter val="BR-060-GG"/>
            <filter val="BR-056-AZ"/>
            <filter val="BR-099-GG"/>
            <filter val="BR-022-CP"/>
            <filter val="BR-204-AB"/>
            <filter val="BR-133-AB"/>
            <filter val="BR-177-CP"/>
            <filter val="BR-043-GP"/>
          </filters>
        </filterColumn>
      </autoFilter>
      <extLst>
        <ext uri="GoogleSheetsCustomDataVersion1">
          <go:sheetsCustomData xmlns:go="http://customooxmlschemas.google.com/" filterViewId="1720980155"/>
        </ext>
      </extLst>
    </customSheetView>
  </customSheetViews>
  <conditionalFormatting sqref="E1:E296 F1:F2 G1:G283 H1:H263">
    <cfRule type="containsText" dxfId="5" priority="1" operator="containsText" text="CIB">
      <formula>NOT(ISERROR(SEARCH(("CIB"),(E1))))</formula>
    </cfRule>
  </conditionalFormatting>
  <conditionalFormatting sqref="E1:E296 F1:F2 G1:G283 H1:H263">
    <cfRule type="containsText" dxfId="6" priority="2" operator="containsText" text="Loose">
      <formula>NOT(ISERROR(SEARCH(("Loose"),(E1))))</formula>
    </cfRule>
  </conditionalFormatting>
  <conditionalFormatting sqref="E1:E296 F1:F2 G1:G283 H1:H263">
    <cfRule type="containsText" dxfId="7" priority="3" operator="containsText" text="Boxed">
      <formula>NOT(ISERROR(SEARCH(("Boxed"),(E1))))</formula>
    </cfRule>
  </conditionalFormatting>
  <conditionalFormatting sqref="E3:E296 G3:G283 H3:H263">
    <cfRule type="containsText" dxfId="8" priority="4" operator="containsText" text="possuo">
      <formula>NOT(ISERROR(SEARCH(("possuo"),(E3))))</formula>
    </cfRule>
  </conditionalFormatting>
  <dataValidations>
    <dataValidation type="list" allowBlank="1" sqref="J3:J296">
      <formula1>"EUA,EU,BR,KR,JP,AU"</formula1>
    </dataValidation>
    <dataValidation type="list" allowBlank="1" sqref="Q3:Q296">
      <formula1>"sim,nao,n/s"</formula1>
    </dataValidation>
    <dataValidation type="list" allowBlank="1" sqref="K3:K296">
      <formula1>"EU,Tectoy,EUA"</formula1>
    </dataValidation>
    <dataValidation type="list" allowBlank="1" sqref="H3:H296">
      <formula1>"1,2,3,4,5"</formula1>
    </dataValidation>
    <dataValidation type="list" allowBlank="1" sqref="L3:L296">
      <formula1>"Comum,Incomum,Raro,Muito raro"</formula1>
    </dataValidation>
    <dataValidation type="list" allowBlank="1" sqref="F3:F296">
      <formula1>"GP,AB,GG,MG,AZ,CP,CU"</formula1>
    </dataValidation>
    <dataValidation type="list" allowBlank="1" sqref="G3:G296">
      <formula1>"1,2,3,0"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2026-08-09T14:04:37Z</dcterms:created>
  <dc:creator>openpyxl</dc:creator>
</cp:coreProperties>
</file>